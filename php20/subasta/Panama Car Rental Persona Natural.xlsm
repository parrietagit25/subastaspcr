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C:\Users\pedro.arrieta\Desktop\proyectos_pcr\en_ejecucion\masterpcr\php\subasta\"/>
    </mc:Choice>
  </mc:AlternateContent>
  <xr:revisionPtr revIDLastSave="0" documentId="13_ncr:1_{1D005079-988F-4EB7-BAEE-8D59AF9F735E}" xr6:coauthVersionLast="47" xr6:coauthVersionMax="47" xr10:uidLastSave="{00000000-0000-0000-0000-000000000000}"/>
  <bookViews>
    <workbookView xWindow="29175" yWindow="0" windowWidth="28470" windowHeight="15600" tabRatio="927" firstSheet="5" activeTab="5" xr2:uid="{00000000-000D-0000-FFFF-FFFF00000000}"/>
  </bookViews>
  <sheets>
    <sheet name="FORMULARIO" sheetId="19" state="hidden" r:id="rId1"/>
    <sheet name="DATOS" sheetId="20" state="hidden" r:id="rId2"/>
    <sheet name="Cumplimiento" sheetId="27" state="hidden" r:id="rId3"/>
    <sheet name="Nacionalidad" sheetId="26" state="hidden" r:id="rId4"/>
    <sheet name="Cumplimiento File" sheetId="28" state="hidden" r:id="rId5"/>
    <sheet name="CTC Pers. Natural" sheetId="30" r:id="rId6"/>
    <sheet name="RTE Pers. Natural" sheetId="22" state="hidden" r:id="rId7"/>
    <sheet name="FILE DOC AUTO" sheetId="18" state="hidden" r:id="rId8"/>
  </sheets>
  <definedNames>
    <definedName name="_xlnm._FilterDatabase" localSheetId="3" hidden="1">Nacionalidad!$A$1:$L$390</definedName>
    <definedName name="Pais">DATOS!$J$2:$J$195</definedName>
    <definedName name="_xlnm.Print_Area" localSheetId="5">'CTC Pers. Natural'!$A$1:$H$43</definedName>
    <definedName name="_xlnm.Print_Area" localSheetId="7">'FILE DOC AUTO'!$A$1:$E$51</definedName>
    <definedName name="_xlnm.Print_Area" localSheetId="6">'RTE Pers. Natural'!$A$1:$I$58</definedName>
    <definedName name="Vendedor">DATOS!$D$2:$D$11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7" i="19" l="1"/>
  <c r="C12" i="19"/>
  <c r="C10" i="19"/>
  <c r="C16" i="19"/>
  <c r="C13" i="30" l="1"/>
  <c r="A1" i="22" l="1"/>
  <c r="A1" i="30"/>
  <c r="D41" i="30"/>
  <c r="E41" i="30"/>
  <c r="G41" i="30"/>
  <c r="H41" i="30"/>
  <c r="H39" i="30"/>
  <c r="G39" i="30"/>
  <c r="E39" i="30"/>
  <c r="D39" i="30"/>
  <c r="C36" i="30"/>
  <c r="B36" i="30"/>
  <c r="D36" i="30"/>
  <c r="F32" i="30"/>
  <c r="D32" i="30"/>
  <c r="F26" i="30"/>
  <c r="D26" i="30"/>
  <c r="F23" i="30"/>
  <c r="D23" i="30"/>
  <c r="C19" i="30"/>
  <c r="C20" i="30"/>
  <c r="G18" i="30"/>
  <c r="C18" i="30"/>
  <c r="H14" i="30"/>
  <c r="E14" i="30"/>
  <c r="C14" i="30"/>
  <c r="C12" i="30" l="1"/>
  <c r="C11" i="30"/>
  <c r="C10" i="30"/>
  <c r="G11" i="30" s="1"/>
  <c r="G9" i="30"/>
  <c r="C9" i="30"/>
  <c r="G8" i="30"/>
  <c r="C8" i="30"/>
  <c r="E7" i="30"/>
  <c r="C7" i="30"/>
  <c r="H6" i="30"/>
  <c r="E6" i="30"/>
  <c r="I34" i="19" l="1"/>
  <c r="I33" i="19"/>
  <c r="I28" i="19" l="1"/>
  <c r="G43" i="27" l="1"/>
  <c r="H43" i="27" s="1"/>
  <c r="A80" i="27"/>
  <c r="H80" i="27" s="1"/>
  <c r="A81" i="27"/>
  <c r="H81" i="27" s="1"/>
  <c r="A82" i="27"/>
  <c r="H82" i="27" s="1"/>
  <c r="A83" i="27"/>
  <c r="H83" i="27" s="1"/>
  <c r="A84" i="27"/>
  <c r="H84" i="27" s="1"/>
  <c r="D79" i="27"/>
  <c r="I79" i="27" s="1"/>
  <c r="G45" i="27"/>
  <c r="H45" i="27" s="1"/>
  <c r="D60" i="27"/>
  <c r="G54" i="27"/>
  <c r="H54" i="27" s="1"/>
  <c r="D58" i="27"/>
  <c r="C37" i="27"/>
  <c r="F37" i="27" s="1"/>
  <c r="C72" i="27"/>
  <c r="F72" i="27" s="1"/>
  <c r="C73" i="27"/>
  <c r="F73" i="27" s="1"/>
  <c r="C74" i="27"/>
  <c r="F74" i="27" s="1"/>
  <c r="C67" i="27"/>
  <c r="F67" i="27" s="1"/>
  <c r="C68" i="27"/>
  <c r="F68" i="27" s="1"/>
  <c r="C69" i="27"/>
  <c r="F69" i="27" s="1"/>
  <c r="C70" i="27"/>
  <c r="F70" i="27" s="1"/>
  <c r="C62" i="27"/>
  <c r="F62" i="27" s="1"/>
  <c r="C63" i="27"/>
  <c r="F63" i="27" s="1"/>
  <c r="C64" i="27"/>
  <c r="F64" i="27" s="1"/>
  <c r="C65" i="27"/>
  <c r="F65" i="27" s="1"/>
  <c r="C75" i="27"/>
  <c r="F75" i="27" s="1"/>
  <c r="D80" i="27"/>
  <c r="I80" i="27" s="1"/>
  <c r="D81" i="27"/>
  <c r="I81" i="27" s="1"/>
  <c r="D82" i="27"/>
  <c r="I82" i="27" s="1"/>
  <c r="D83" i="27"/>
  <c r="I83" i="27" s="1"/>
  <c r="D84" i="27"/>
  <c r="I84" i="27" s="1"/>
  <c r="B46" i="28"/>
  <c r="B40" i="28"/>
  <c r="C27" i="27"/>
  <c r="F27" i="27" s="1"/>
  <c r="C28" i="27"/>
  <c r="F28" i="27" s="1"/>
  <c r="C29" i="27"/>
  <c r="F29" i="27" s="1"/>
  <c r="C18" i="27"/>
  <c r="F18" i="27" s="1"/>
  <c r="A79" i="27"/>
  <c r="H79" i="27" s="1"/>
  <c r="G50" i="27"/>
  <c r="H50" i="27" s="1"/>
  <c r="C58" i="27"/>
  <c r="C48" i="27"/>
  <c r="H48" i="27" s="1"/>
  <c r="C60" i="27"/>
  <c r="C39" i="27"/>
  <c r="F39" i="27" s="1"/>
  <c r="C38" i="18"/>
  <c r="C5" i="18"/>
  <c r="B6" i="28"/>
  <c r="J27" i="28"/>
  <c r="K61" i="28" s="1"/>
  <c r="H61" i="28"/>
  <c r="H60" i="28"/>
  <c r="H59" i="28"/>
  <c r="F61" i="28"/>
  <c r="F60" i="28"/>
  <c r="F59" i="28"/>
  <c r="D59" i="28"/>
  <c r="B61" i="28"/>
  <c r="B60" i="28"/>
  <c r="B59" i="28"/>
  <c r="C32" i="27"/>
  <c r="F32" i="27" s="1"/>
  <c r="C33" i="27"/>
  <c r="F33" i="27" s="1"/>
  <c r="C34" i="27"/>
  <c r="F34" i="27" s="1"/>
  <c r="C35" i="27"/>
  <c r="F35" i="27" s="1"/>
  <c r="C36" i="27"/>
  <c r="F36" i="27" s="1"/>
  <c r="C38" i="27"/>
  <c r="F38" i="27" s="1"/>
  <c r="C8" i="27"/>
  <c r="F8" i="27" s="1"/>
  <c r="C9" i="27"/>
  <c r="F9" i="27" s="1"/>
  <c r="C10" i="27"/>
  <c r="F10" i="27" s="1"/>
  <c r="C11" i="27"/>
  <c r="F11" i="27" s="1"/>
  <c r="C13" i="27"/>
  <c r="F13" i="27" s="1"/>
  <c r="C14" i="27"/>
  <c r="F14" i="27" s="1"/>
  <c r="C15" i="27"/>
  <c r="F15" i="27" s="1"/>
  <c r="C17" i="27"/>
  <c r="F17" i="27" s="1"/>
  <c r="C22" i="27"/>
  <c r="F22" i="27" s="1"/>
  <c r="C23" i="27"/>
  <c r="F23" i="27" s="1"/>
  <c r="C24" i="27"/>
  <c r="F24" i="27" s="1"/>
  <c r="C25" i="27"/>
  <c r="F25" i="27" s="1"/>
  <c r="C26" i="27"/>
  <c r="F26" i="27" s="1"/>
  <c r="C30" i="27"/>
  <c r="F30" i="27" s="1"/>
  <c r="B13" i="28"/>
  <c r="B12" i="28"/>
  <c r="B11" i="28"/>
  <c r="B10" i="28"/>
  <c r="B9" i="28"/>
  <c r="B8" i="28"/>
  <c r="B7" i="28"/>
  <c r="G27" i="28"/>
  <c r="A86" i="27"/>
  <c r="H86" i="27" s="1"/>
  <c r="G60" i="27"/>
  <c r="F60" i="27"/>
  <c r="G58" i="27"/>
  <c r="F58" i="27"/>
  <c r="C55" i="27"/>
  <c r="G53" i="27"/>
  <c r="H53" i="27" s="1"/>
  <c r="G51" i="27"/>
  <c r="H51" i="27" s="1"/>
  <c r="G46" i="27"/>
  <c r="H46" i="27" s="1"/>
  <c r="G42" i="27"/>
  <c r="H42" i="27" s="1"/>
  <c r="C12" i="27"/>
  <c r="F12" i="27" s="1"/>
  <c r="C16" i="27"/>
  <c r="F16" i="27" s="1"/>
  <c r="C19" i="27"/>
  <c r="F19" i="27" s="1"/>
  <c r="C20" i="27"/>
  <c r="F20" i="27" s="1"/>
  <c r="C21" i="27"/>
  <c r="F21" i="27" s="1"/>
  <c r="J390" i="26"/>
  <c r="J389" i="26"/>
  <c r="J388" i="26"/>
  <c r="J387" i="26"/>
  <c r="J386" i="26"/>
  <c r="J385" i="26"/>
  <c r="J384" i="26"/>
  <c r="J383" i="26"/>
  <c r="J382" i="26"/>
  <c r="J381" i="26"/>
  <c r="J380" i="26"/>
  <c r="J379" i="26"/>
  <c r="J378" i="26"/>
  <c r="J377" i="26"/>
  <c r="J376" i="26"/>
  <c r="J375" i="26"/>
  <c r="J374" i="26"/>
  <c r="J373" i="26"/>
  <c r="J372" i="26"/>
  <c r="J371" i="26"/>
  <c r="J370" i="26"/>
  <c r="J369" i="26"/>
  <c r="J368" i="26"/>
  <c r="J367" i="26"/>
  <c r="J366" i="26"/>
  <c r="J365" i="26"/>
  <c r="J364" i="26"/>
  <c r="J363" i="26"/>
  <c r="J362" i="26"/>
  <c r="J361" i="26"/>
  <c r="J360" i="26"/>
  <c r="J359" i="26"/>
  <c r="J358" i="26"/>
  <c r="J357" i="26"/>
  <c r="J356" i="26"/>
  <c r="J355" i="26"/>
  <c r="J354" i="26"/>
  <c r="J353" i="26"/>
  <c r="J352" i="26"/>
  <c r="J351" i="26"/>
  <c r="J350" i="26"/>
  <c r="J349" i="26"/>
  <c r="J348" i="26"/>
  <c r="J347" i="26"/>
  <c r="J346" i="26"/>
  <c r="J345" i="26"/>
  <c r="J344" i="26"/>
  <c r="J343" i="26"/>
  <c r="J342" i="26"/>
  <c r="J341" i="26"/>
  <c r="J340" i="26"/>
  <c r="J339" i="26"/>
  <c r="J338" i="26"/>
  <c r="J337" i="26"/>
  <c r="J336" i="26"/>
  <c r="J335" i="26"/>
  <c r="J334" i="26"/>
  <c r="J333" i="26"/>
  <c r="J332" i="26"/>
  <c r="J331" i="26"/>
  <c r="J330" i="26"/>
  <c r="J329" i="26"/>
  <c r="J328" i="26"/>
  <c r="J327" i="26"/>
  <c r="J326" i="26"/>
  <c r="J325" i="26"/>
  <c r="J324" i="26"/>
  <c r="J323" i="26"/>
  <c r="J322" i="26"/>
  <c r="J321" i="26"/>
  <c r="J320" i="26"/>
  <c r="J319" i="26"/>
  <c r="J318" i="26"/>
  <c r="J317" i="26"/>
  <c r="J316" i="26"/>
  <c r="J315" i="26"/>
  <c r="J314" i="26"/>
  <c r="J313" i="26"/>
  <c r="J312" i="26"/>
  <c r="J311" i="26"/>
  <c r="J310" i="26"/>
  <c r="J309" i="26"/>
  <c r="J308" i="26"/>
  <c r="J307" i="26"/>
  <c r="J306" i="26"/>
  <c r="J305" i="26"/>
  <c r="J304" i="26"/>
  <c r="J303" i="26"/>
  <c r="J302" i="26"/>
  <c r="J301" i="26"/>
  <c r="J300" i="26"/>
  <c r="J299" i="26"/>
  <c r="J298" i="26"/>
  <c r="J297" i="26"/>
  <c r="J296" i="26"/>
  <c r="J295" i="26"/>
  <c r="J294" i="26"/>
  <c r="J293" i="26"/>
  <c r="J292" i="26"/>
  <c r="J291" i="26"/>
  <c r="J290" i="26"/>
  <c r="J289" i="26"/>
  <c r="J288" i="26"/>
  <c r="J287" i="26"/>
  <c r="J286" i="26"/>
  <c r="J285" i="26"/>
  <c r="J284" i="26"/>
  <c r="J283" i="26"/>
  <c r="J282" i="26"/>
  <c r="J281" i="26"/>
  <c r="J280" i="26"/>
  <c r="J279" i="26"/>
  <c r="J278" i="26"/>
  <c r="J277" i="26"/>
  <c r="J276" i="26"/>
  <c r="J275" i="26"/>
  <c r="J274" i="26"/>
  <c r="J273" i="26"/>
  <c r="J272" i="26"/>
  <c r="J271" i="26"/>
  <c r="J270" i="26"/>
  <c r="J269" i="26"/>
  <c r="J268" i="26"/>
  <c r="J267" i="26"/>
  <c r="J266" i="26"/>
  <c r="J265" i="26"/>
  <c r="J264" i="26"/>
  <c r="J263" i="26"/>
  <c r="J262" i="26"/>
  <c r="J261" i="26"/>
  <c r="J260" i="26"/>
  <c r="J259" i="26"/>
  <c r="J258" i="26"/>
  <c r="J257" i="26"/>
  <c r="J256" i="26"/>
  <c r="J255" i="26"/>
  <c r="J254" i="26"/>
  <c r="J253" i="26"/>
  <c r="J252" i="26"/>
  <c r="J251" i="26"/>
  <c r="J250" i="26"/>
  <c r="J249" i="26"/>
  <c r="J248" i="26"/>
  <c r="J247" i="26"/>
  <c r="J246" i="26"/>
  <c r="J245" i="26"/>
  <c r="J244" i="26"/>
  <c r="J243" i="26"/>
  <c r="J242" i="26"/>
  <c r="J241" i="26"/>
  <c r="J240" i="26"/>
  <c r="J239" i="26"/>
  <c r="J238" i="26"/>
  <c r="J237" i="26"/>
  <c r="J236" i="26"/>
  <c r="J235" i="26"/>
  <c r="J234" i="26"/>
  <c r="J233" i="26"/>
  <c r="J232" i="26"/>
  <c r="J231" i="26"/>
  <c r="J230" i="26"/>
  <c r="J229" i="26"/>
  <c r="J228" i="26"/>
  <c r="J227" i="26"/>
  <c r="J226" i="26"/>
  <c r="J225" i="26"/>
  <c r="J224" i="26"/>
  <c r="J223" i="26"/>
  <c r="J222" i="26"/>
  <c r="J221" i="26"/>
  <c r="J220" i="26"/>
  <c r="J219" i="26"/>
  <c r="J218" i="26"/>
  <c r="J217" i="26"/>
  <c r="J216" i="26"/>
  <c r="J215" i="26"/>
  <c r="J214" i="26"/>
  <c r="J213" i="26"/>
  <c r="J212" i="26"/>
  <c r="J211" i="26"/>
  <c r="J210" i="26"/>
  <c r="J209" i="26"/>
  <c r="J208" i="26"/>
  <c r="J207" i="26"/>
  <c r="J206" i="26"/>
  <c r="J205" i="26"/>
  <c r="J204" i="26"/>
  <c r="J203" i="26"/>
  <c r="J202" i="26"/>
  <c r="J201" i="26"/>
  <c r="J200" i="26"/>
  <c r="J199" i="26"/>
  <c r="J198" i="26"/>
  <c r="J197" i="26"/>
  <c r="J196" i="26"/>
  <c r="J195" i="26"/>
  <c r="J194" i="26"/>
  <c r="H193" i="26"/>
  <c r="J193" i="26" s="1"/>
  <c r="H192" i="26"/>
  <c r="J192" i="26" s="1"/>
  <c r="H191" i="26"/>
  <c r="J191" i="26" s="1"/>
  <c r="H190" i="26"/>
  <c r="I190" i="26" s="1"/>
  <c r="J190" i="26"/>
  <c r="H189" i="26"/>
  <c r="J189" i="26"/>
  <c r="I189" i="26"/>
  <c r="H188" i="26"/>
  <c r="I188" i="26" s="1"/>
  <c r="H187" i="26"/>
  <c r="I187" i="26" s="1"/>
  <c r="H186" i="26"/>
  <c r="I186" i="26" s="1"/>
  <c r="J186" i="26"/>
  <c r="H185" i="26"/>
  <c r="J185" i="26" s="1"/>
  <c r="H184" i="26"/>
  <c r="J184" i="26" s="1"/>
  <c r="H183" i="26"/>
  <c r="J183" i="26" s="1"/>
  <c r="H182" i="26"/>
  <c r="J182" i="26" s="1"/>
  <c r="H181" i="26"/>
  <c r="J181" i="26"/>
  <c r="I181" i="26"/>
  <c r="H180" i="26"/>
  <c r="I180" i="26" s="1"/>
  <c r="H179" i="26"/>
  <c r="I179" i="26" s="1"/>
  <c r="H178" i="26"/>
  <c r="I178" i="26" s="1"/>
  <c r="H177" i="26"/>
  <c r="J177" i="26" s="1"/>
  <c r="H176" i="26"/>
  <c r="J176" i="26" s="1"/>
  <c r="H175" i="26"/>
  <c r="J175" i="26" s="1"/>
  <c r="H174" i="26"/>
  <c r="J174" i="26"/>
  <c r="I174" i="26"/>
  <c r="H173" i="26"/>
  <c r="J173" i="26" s="1"/>
  <c r="H172" i="26"/>
  <c r="I172" i="26" s="1"/>
  <c r="H171" i="26"/>
  <c r="I171" i="26" s="1"/>
  <c r="J171" i="26"/>
  <c r="H170" i="26"/>
  <c r="I170" i="26" s="1"/>
  <c r="J170" i="26"/>
  <c r="H169" i="26"/>
  <c r="J169" i="26" s="1"/>
  <c r="H168" i="26"/>
  <c r="J168" i="26" s="1"/>
  <c r="H167" i="26"/>
  <c r="J167" i="26" s="1"/>
  <c r="H166" i="26"/>
  <c r="J166" i="26" s="1"/>
  <c r="H165" i="26"/>
  <c r="I165" i="26" s="1"/>
  <c r="J165" i="26"/>
  <c r="H164" i="26"/>
  <c r="I164" i="26" s="1"/>
  <c r="J164" i="26"/>
  <c r="H163" i="26"/>
  <c r="I163" i="26" s="1"/>
  <c r="H162" i="26"/>
  <c r="I162" i="26" s="1"/>
  <c r="J162" i="26"/>
  <c r="H161" i="26"/>
  <c r="J161" i="26" s="1"/>
  <c r="H160" i="26"/>
  <c r="J160" i="26" s="1"/>
  <c r="H159" i="26"/>
  <c r="J159" i="26" s="1"/>
  <c r="H158" i="26"/>
  <c r="I158" i="26" s="1"/>
  <c r="J158" i="26"/>
  <c r="H157" i="26"/>
  <c r="J157" i="26" s="1"/>
  <c r="H156" i="26"/>
  <c r="I156" i="26" s="1"/>
  <c r="J156" i="26"/>
  <c r="H155" i="26"/>
  <c r="I155" i="26" s="1"/>
  <c r="J155" i="26"/>
  <c r="H154" i="26"/>
  <c r="I154" i="26" s="1"/>
  <c r="J154" i="26"/>
  <c r="H153" i="26"/>
  <c r="J153" i="26" s="1"/>
  <c r="H152" i="26"/>
  <c r="J152" i="26" s="1"/>
  <c r="H151" i="26"/>
  <c r="J151" i="26" s="1"/>
  <c r="H150" i="26"/>
  <c r="J150" i="26"/>
  <c r="I150" i="26"/>
  <c r="H149" i="26"/>
  <c r="I149" i="26" s="1"/>
  <c r="J149" i="26"/>
  <c r="H148" i="26"/>
  <c r="I148" i="26" s="1"/>
  <c r="H147" i="26"/>
  <c r="I147" i="26" s="1"/>
  <c r="J147" i="26"/>
  <c r="H146" i="26"/>
  <c r="I146" i="26" s="1"/>
  <c r="H145" i="26"/>
  <c r="J145" i="26" s="1"/>
  <c r="H144" i="26"/>
  <c r="J144" i="26" s="1"/>
  <c r="H143" i="26"/>
  <c r="J143" i="26" s="1"/>
  <c r="H142" i="26"/>
  <c r="J142" i="26"/>
  <c r="I142" i="26"/>
  <c r="H141" i="26"/>
  <c r="J141" i="26" s="1"/>
  <c r="H140" i="26"/>
  <c r="I140" i="26" s="1"/>
  <c r="J140" i="26"/>
  <c r="H139" i="26"/>
  <c r="I139" i="26" s="1"/>
  <c r="J139" i="26"/>
  <c r="H138" i="26"/>
  <c r="I138" i="26" s="1"/>
  <c r="J138" i="26"/>
  <c r="H137" i="26"/>
  <c r="J137" i="26" s="1"/>
  <c r="H136" i="26"/>
  <c r="J136" i="26" s="1"/>
  <c r="H135" i="26"/>
  <c r="J135" i="26" s="1"/>
  <c r="H134" i="26"/>
  <c r="J134" i="26" s="1"/>
  <c r="H133" i="26"/>
  <c r="I133" i="26" s="1"/>
  <c r="J133" i="26"/>
  <c r="H132" i="26"/>
  <c r="I132" i="26" s="1"/>
  <c r="J132" i="26"/>
  <c r="H131" i="26"/>
  <c r="I131" i="26" s="1"/>
  <c r="H130" i="26"/>
  <c r="I130" i="26" s="1"/>
  <c r="J130" i="26"/>
  <c r="H129" i="26"/>
  <c r="J129" i="26" s="1"/>
  <c r="H128" i="26"/>
  <c r="J128" i="26" s="1"/>
  <c r="H127" i="26"/>
  <c r="J127" i="26" s="1"/>
  <c r="H126" i="26"/>
  <c r="I126" i="26" s="1"/>
  <c r="J126" i="26"/>
  <c r="H125" i="26"/>
  <c r="J125" i="26"/>
  <c r="I125" i="26"/>
  <c r="H124" i="26"/>
  <c r="I124" i="26" s="1"/>
  <c r="J124" i="26"/>
  <c r="H123" i="26"/>
  <c r="I123" i="26" s="1"/>
  <c r="H122" i="26"/>
  <c r="I122" i="26" s="1"/>
  <c r="H121" i="26"/>
  <c r="J121" i="26" s="1"/>
  <c r="H120" i="26"/>
  <c r="J120" i="26" s="1"/>
  <c r="H119" i="26"/>
  <c r="J119" i="26" s="1"/>
  <c r="H118" i="26"/>
  <c r="I118" i="26" s="1"/>
  <c r="J118" i="26"/>
  <c r="H117" i="26"/>
  <c r="J117" i="26" s="1"/>
  <c r="I117" i="26"/>
  <c r="H116" i="26"/>
  <c r="I116" i="26" s="1"/>
  <c r="H115" i="26"/>
  <c r="I115" i="26" s="1"/>
  <c r="J115" i="26"/>
  <c r="H114" i="26"/>
  <c r="I114" i="26" s="1"/>
  <c r="H113" i="26"/>
  <c r="J113" i="26" s="1"/>
  <c r="H112" i="26"/>
  <c r="J112" i="26" s="1"/>
  <c r="H111" i="26"/>
  <c r="J111" i="26" s="1"/>
  <c r="H110" i="26"/>
  <c r="J110" i="26"/>
  <c r="I110" i="26"/>
  <c r="H109" i="26"/>
  <c r="J109" i="26" s="1"/>
  <c r="H108" i="26"/>
  <c r="I108" i="26" s="1"/>
  <c r="H107" i="26"/>
  <c r="I107" i="26" s="1"/>
  <c r="H106" i="26"/>
  <c r="I106" i="26" s="1"/>
  <c r="J106" i="26"/>
  <c r="H105" i="26"/>
  <c r="J105" i="26" s="1"/>
  <c r="H104" i="26"/>
  <c r="J104" i="26" s="1"/>
  <c r="H103" i="26"/>
  <c r="J103" i="26" s="1"/>
  <c r="H102" i="26"/>
  <c r="J102" i="26" s="1"/>
  <c r="H101" i="26"/>
  <c r="I101" i="26" s="1"/>
  <c r="H100" i="26"/>
  <c r="I100" i="26" s="1"/>
  <c r="J100" i="26"/>
  <c r="H99" i="26"/>
  <c r="I99" i="26" s="1"/>
  <c r="H98" i="26"/>
  <c r="I98" i="26" s="1"/>
  <c r="J98" i="26"/>
  <c r="H97" i="26"/>
  <c r="J97" i="26" s="1"/>
  <c r="H96" i="26"/>
  <c r="J96" i="26" s="1"/>
  <c r="H95" i="26"/>
  <c r="J95" i="26" s="1"/>
  <c r="H94" i="26"/>
  <c r="I94" i="26" s="1"/>
  <c r="J94" i="26"/>
  <c r="H93" i="26"/>
  <c r="J93" i="26"/>
  <c r="I93" i="26"/>
  <c r="H92" i="26"/>
  <c r="I92" i="26" s="1"/>
  <c r="H91" i="26"/>
  <c r="I91" i="26" s="1"/>
  <c r="J91" i="26"/>
  <c r="H90" i="26"/>
  <c r="I90" i="26" s="1"/>
  <c r="J90" i="26"/>
  <c r="H89" i="26"/>
  <c r="J89" i="26" s="1"/>
  <c r="H88" i="26"/>
  <c r="J88" i="26" s="1"/>
  <c r="H87" i="26"/>
  <c r="J87" i="26" s="1"/>
  <c r="H86" i="26"/>
  <c r="J86" i="26" s="1"/>
  <c r="I86" i="26"/>
  <c r="H85" i="26"/>
  <c r="J85" i="26"/>
  <c r="I85" i="26"/>
  <c r="H84" i="26"/>
  <c r="I84" i="26" s="1"/>
  <c r="H83" i="26"/>
  <c r="I83" i="26" s="1"/>
  <c r="H82" i="26"/>
  <c r="I82" i="26" s="1"/>
  <c r="H81" i="26"/>
  <c r="J81" i="26" s="1"/>
  <c r="H80" i="26"/>
  <c r="J80" i="26" s="1"/>
  <c r="H79" i="26"/>
  <c r="J79" i="26" s="1"/>
  <c r="H78" i="26"/>
  <c r="I78" i="26" s="1"/>
  <c r="J78" i="26"/>
  <c r="H77" i="26"/>
  <c r="J77" i="26" s="1"/>
  <c r="H76" i="26"/>
  <c r="I76" i="26" s="1"/>
  <c r="J76" i="26"/>
  <c r="H75" i="26"/>
  <c r="I75" i="26" s="1"/>
  <c r="J75" i="26"/>
  <c r="H74" i="26"/>
  <c r="I74" i="26" s="1"/>
  <c r="J74" i="26"/>
  <c r="H73" i="26"/>
  <c r="J73" i="26" s="1"/>
  <c r="H72" i="26"/>
  <c r="J72" i="26" s="1"/>
  <c r="H71" i="26"/>
  <c r="J71" i="26" s="1"/>
  <c r="H70" i="26"/>
  <c r="J70" i="26" s="1"/>
  <c r="H69" i="26"/>
  <c r="I69" i="26" s="1"/>
  <c r="J69" i="26"/>
  <c r="H68" i="26"/>
  <c r="I68" i="26" s="1"/>
  <c r="J68" i="26"/>
  <c r="H67" i="26"/>
  <c r="I67" i="26" s="1"/>
  <c r="H66" i="26"/>
  <c r="I66" i="26" s="1"/>
  <c r="J66" i="26"/>
  <c r="H65" i="26"/>
  <c r="J65" i="26" s="1"/>
  <c r="H64" i="26"/>
  <c r="J64" i="26" s="1"/>
  <c r="H63" i="26"/>
  <c r="J63" i="26" s="1"/>
  <c r="H62" i="26"/>
  <c r="I62" i="26" s="1"/>
  <c r="J62" i="26"/>
  <c r="H61" i="26"/>
  <c r="J61" i="26" s="1"/>
  <c r="H60" i="26"/>
  <c r="I60" i="26" s="1"/>
  <c r="J60" i="26"/>
  <c r="H59" i="26"/>
  <c r="I59" i="26" s="1"/>
  <c r="J59" i="26"/>
  <c r="H58" i="26"/>
  <c r="I58" i="26" s="1"/>
  <c r="H57" i="26"/>
  <c r="J57" i="26" s="1"/>
  <c r="H56" i="26"/>
  <c r="J56" i="26" s="1"/>
  <c r="H55" i="26"/>
  <c r="J55" i="26" s="1"/>
  <c r="H54" i="26"/>
  <c r="J54" i="26"/>
  <c r="I54" i="26"/>
  <c r="H53" i="26"/>
  <c r="J53" i="26" s="1"/>
  <c r="H52" i="26"/>
  <c r="I52" i="26" s="1"/>
  <c r="H51" i="26"/>
  <c r="I51" i="26" s="1"/>
  <c r="J51" i="26"/>
  <c r="H50" i="26"/>
  <c r="I50" i="26" s="1"/>
  <c r="H49" i="26"/>
  <c r="J49" i="26" s="1"/>
  <c r="H48" i="26"/>
  <c r="J48" i="26" s="1"/>
  <c r="H47" i="26"/>
  <c r="J47" i="26" s="1"/>
  <c r="H46" i="26"/>
  <c r="J46" i="26" s="1"/>
  <c r="I46" i="26"/>
  <c r="H45" i="26"/>
  <c r="J45" i="26" s="1"/>
  <c r="H44" i="26"/>
  <c r="I44" i="26" s="1"/>
  <c r="J44" i="26"/>
  <c r="H43" i="26"/>
  <c r="I43" i="26" s="1"/>
  <c r="H42" i="26"/>
  <c r="I42" i="26" s="1"/>
  <c r="H41" i="26"/>
  <c r="J41" i="26" s="1"/>
  <c r="H40" i="26"/>
  <c r="J40" i="26" s="1"/>
  <c r="H39" i="26"/>
  <c r="J39" i="26" s="1"/>
  <c r="H38" i="26"/>
  <c r="J38" i="26" s="1"/>
  <c r="H37" i="26"/>
  <c r="I37" i="26" s="1"/>
  <c r="H36" i="26"/>
  <c r="I36" i="26" s="1"/>
  <c r="H35" i="26"/>
  <c r="I35" i="26" s="1"/>
  <c r="H34" i="26"/>
  <c r="I34" i="26" s="1"/>
  <c r="J34" i="26"/>
  <c r="H33" i="26"/>
  <c r="J33" i="26" s="1"/>
  <c r="H32" i="26"/>
  <c r="J32" i="26" s="1"/>
  <c r="H31" i="26"/>
  <c r="J31" i="26" s="1"/>
  <c r="H30" i="26"/>
  <c r="I30" i="26" s="1"/>
  <c r="H29" i="26"/>
  <c r="J29" i="26"/>
  <c r="I29" i="26"/>
  <c r="H28" i="26"/>
  <c r="I28" i="26" s="1"/>
  <c r="J28" i="26"/>
  <c r="H27" i="26"/>
  <c r="I27" i="26" s="1"/>
  <c r="H26" i="26"/>
  <c r="I26" i="26" s="1"/>
  <c r="J26" i="26"/>
  <c r="H25" i="26"/>
  <c r="J25" i="26" s="1"/>
  <c r="H24" i="26"/>
  <c r="J24" i="26" s="1"/>
  <c r="H23" i="26"/>
  <c r="J23" i="26" s="1"/>
  <c r="H22" i="26"/>
  <c r="J22" i="26" s="1"/>
  <c r="H21" i="26"/>
  <c r="J21" i="26"/>
  <c r="I21" i="26"/>
  <c r="H20" i="26"/>
  <c r="I20" i="26" s="1"/>
  <c r="H19" i="26"/>
  <c r="I19" i="26" s="1"/>
  <c r="J19" i="26"/>
  <c r="H18" i="26"/>
  <c r="I18" i="26" s="1"/>
  <c r="H17" i="26"/>
  <c r="J17" i="26" s="1"/>
  <c r="H16" i="26"/>
  <c r="J16" i="26" s="1"/>
  <c r="H15" i="26"/>
  <c r="J15" i="26" s="1"/>
  <c r="H14" i="26"/>
  <c r="J14" i="26"/>
  <c r="I14" i="26"/>
  <c r="H13" i="26"/>
  <c r="J13" i="26" s="1"/>
  <c r="H12" i="26"/>
  <c r="I12" i="26" s="1"/>
  <c r="H11" i="26"/>
  <c r="I11" i="26" s="1"/>
  <c r="J11" i="26"/>
  <c r="H10" i="26"/>
  <c r="I10" i="26" s="1"/>
  <c r="J10" i="26"/>
  <c r="H9" i="26"/>
  <c r="J9" i="26" s="1"/>
  <c r="H8" i="26"/>
  <c r="J8" i="26" s="1"/>
  <c r="H7" i="26"/>
  <c r="J7" i="26" s="1"/>
  <c r="H6" i="26"/>
  <c r="J6" i="26" s="1"/>
  <c r="H5" i="26"/>
  <c r="I5" i="26" s="1"/>
  <c r="J5" i="26"/>
  <c r="H4" i="26"/>
  <c r="I4" i="26" s="1"/>
  <c r="J4" i="26"/>
  <c r="H3" i="26"/>
  <c r="I3" i="26" s="1"/>
  <c r="H2" i="26"/>
  <c r="I2" i="26" s="1"/>
  <c r="G43" i="22"/>
  <c r="D43" i="22"/>
  <c r="A43" i="22"/>
  <c r="E43" i="22" s="1"/>
  <c r="I54" i="19"/>
  <c r="I46" i="22" s="1"/>
  <c r="I53" i="19"/>
  <c r="H46" i="22" s="1"/>
  <c r="I52" i="19"/>
  <c r="G46" i="22" s="1"/>
  <c r="I51" i="19"/>
  <c r="E46" i="22" s="1"/>
  <c r="I50" i="19"/>
  <c r="D46" i="22" s="1"/>
  <c r="I49" i="19"/>
  <c r="C46" i="22" s="1"/>
  <c r="I48" i="19"/>
  <c r="B46" i="22" s="1"/>
  <c r="I31" i="19"/>
  <c r="I30" i="19"/>
  <c r="H37" i="22"/>
  <c r="N4" i="20"/>
  <c r="A56" i="22"/>
  <c r="E54" i="22"/>
  <c r="A54" i="22"/>
  <c r="H51" i="22"/>
  <c r="G51" i="22"/>
  <c r="E51" i="22"/>
  <c r="I48" i="22"/>
  <c r="H48" i="22"/>
  <c r="G48" i="22"/>
  <c r="E48" i="22"/>
  <c r="D48" i="22"/>
  <c r="C48" i="22"/>
  <c r="B48" i="22"/>
  <c r="I47" i="22"/>
  <c r="H47" i="22"/>
  <c r="G47" i="22"/>
  <c r="E47" i="22"/>
  <c r="D47" i="22"/>
  <c r="C47" i="22"/>
  <c r="B47" i="22"/>
  <c r="I29" i="19"/>
  <c r="I32" i="19" s="1"/>
  <c r="A40" i="22"/>
  <c r="G37" i="22"/>
  <c r="E37" i="22"/>
  <c r="C40" i="22"/>
  <c r="A34" i="22"/>
  <c r="F34" i="22" s="1"/>
  <c r="H28" i="22"/>
  <c r="H31" i="22" s="1"/>
  <c r="E28" i="22"/>
  <c r="D28" i="22"/>
  <c r="C28" i="22"/>
  <c r="B28" i="22"/>
  <c r="E24" i="22"/>
  <c r="E23" i="22"/>
  <c r="E22" i="22"/>
  <c r="H24" i="22"/>
  <c r="H23" i="22"/>
  <c r="H22" i="22"/>
  <c r="D24" i="22"/>
  <c r="D23" i="22"/>
  <c r="D22" i="22"/>
  <c r="C24" i="22"/>
  <c r="C23" i="22"/>
  <c r="C22" i="22"/>
  <c r="B24" i="22"/>
  <c r="B23" i="22"/>
  <c r="B22" i="22"/>
  <c r="I19" i="22"/>
  <c r="E19" i="22"/>
  <c r="C19" i="22"/>
  <c r="C18" i="22"/>
  <c r="G17" i="22"/>
  <c r="C17" i="22"/>
  <c r="G16" i="22"/>
  <c r="C16" i="22"/>
  <c r="H14" i="22"/>
  <c r="E14" i="22"/>
  <c r="C13" i="22"/>
  <c r="C14" i="22"/>
  <c r="C12" i="22"/>
  <c r="C11" i="22"/>
  <c r="G10" i="22"/>
  <c r="C10" i="22"/>
  <c r="G11" i="22" s="1"/>
  <c r="F9" i="22"/>
  <c r="C9" i="22"/>
  <c r="G8" i="22"/>
  <c r="C8" i="22"/>
  <c r="E7" i="22"/>
  <c r="C7" i="22"/>
  <c r="H6" i="22"/>
  <c r="E6" i="22"/>
  <c r="C6" i="22"/>
  <c r="C47" i="18"/>
  <c r="C42" i="18"/>
  <c r="N3" i="20"/>
  <c r="N2" i="20"/>
  <c r="C11" i="18"/>
  <c r="C10" i="18"/>
  <c r="C9" i="18"/>
  <c r="C8" i="18"/>
  <c r="C7" i="18"/>
  <c r="C6" i="18"/>
  <c r="C4" i="18"/>
  <c r="J30" i="26" l="1"/>
  <c r="J36" i="26"/>
  <c r="J42" i="26"/>
  <c r="I61" i="26"/>
  <c r="J101" i="26"/>
  <c r="J107" i="26"/>
  <c r="J122" i="26"/>
  <c r="J172" i="26"/>
  <c r="I182" i="26"/>
  <c r="J187" i="26"/>
  <c r="D60" i="28"/>
  <c r="K59" i="28"/>
  <c r="J12" i="26"/>
  <c r="I22" i="26"/>
  <c r="J27" i="26"/>
  <c r="I53" i="26"/>
  <c r="J83" i="26"/>
  <c r="J92" i="26"/>
  <c r="I157" i="26"/>
  <c r="D61" i="28"/>
  <c r="K60" i="28"/>
  <c r="J2" i="26"/>
  <c r="J37" i="26"/>
  <c r="J43" i="26"/>
  <c r="J58" i="26"/>
  <c r="J108" i="26"/>
  <c r="J123" i="26"/>
  <c r="J179" i="26"/>
  <c r="J188" i="26"/>
  <c r="I6" i="26"/>
  <c r="I13" i="26"/>
  <c r="I38" i="26"/>
  <c r="I45" i="26"/>
  <c r="I70" i="26"/>
  <c r="I77" i="26"/>
  <c r="I102" i="26"/>
  <c r="I109" i="26"/>
  <c r="I134" i="26"/>
  <c r="I141" i="26"/>
  <c r="I166" i="26"/>
  <c r="I173" i="26"/>
  <c r="J3" i="26"/>
  <c r="J18" i="26"/>
  <c r="J20" i="26"/>
  <c r="J35" i="26"/>
  <c r="J50" i="26"/>
  <c r="J52" i="26"/>
  <c r="J67" i="26"/>
  <c r="J82" i="26"/>
  <c r="J84" i="26"/>
  <c r="J99" i="26"/>
  <c r="J114" i="26"/>
  <c r="J116" i="26"/>
  <c r="J131" i="26"/>
  <c r="J146" i="26"/>
  <c r="J148" i="26"/>
  <c r="J163" i="26"/>
  <c r="J178" i="26"/>
  <c r="J180" i="26"/>
  <c r="I8" i="26"/>
  <c r="I16" i="26"/>
  <c r="I24" i="26"/>
  <c r="I32" i="26"/>
  <c r="I40" i="26"/>
  <c r="I48" i="26"/>
  <c r="I56" i="26"/>
  <c r="I64" i="26"/>
  <c r="I72" i="26"/>
  <c r="I80" i="26"/>
  <c r="I88" i="26"/>
  <c r="I96" i="26"/>
  <c r="I104" i="26"/>
  <c r="I112" i="26"/>
  <c r="I120" i="26"/>
  <c r="I128" i="26"/>
  <c r="I136" i="26"/>
  <c r="I144" i="26"/>
  <c r="I152" i="26"/>
  <c r="I160" i="26"/>
  <c r="I168" i="26"/>
  <c r="I176" i="26"/>
  <c r="I184" i="26"/>
  <c r="I192" i="26"/>
  <c r="I9" i="26"/>
  <c r="I17" i="26"/>
  <c r="I25" i="26"/>
  <c r="I33" i="26"/>
  <c r="I41" i="26"/>
  <c r="I49" i="26"/>
  <c r="I57" i="26"/>
  <c r="I65" i="26"/>
  <c r="I73" i="26"/>
  <c r="I81" i="26"/>
  <c r="I89" i="26"/>
  <c r="I97" i="26"/>
  <c r="I105" i="26"/>
  <c r="I113" i="26"/>
  <c r="I121" i="26"/>
  <c r="I129" i="26"/>
  <c r="I137" i="26"/>
  <c r="I145" i="26"/>
  <c r="I153" i="26"/>
  <c r="I161" i="26"/>
  <c r="I169" i="26"/>
  <c r="I177" i="26"/>
  <c r="I185" i="26"/>
  <c r="I193" i="26"/>
  <c r="I7" i="26"/>
  <c r="I15" i="26"/>
  <c r="I23" i="26"/>
  <c r="I31" i="26"/>
  <c r="I39" i="26"/>
  <c r="I47" i="26"/>
  <c r="I55" i="26"/>
  <c r="I63" i="26"/>
  <c r="I71" i="26"/>
  <c r="I79" i="26"/>
  <c r="I87" i="26"/>
  <c r="I95" i="26"/>
  <c r="I103" i="26"/>
  <c r="I111" i="26"/>
  <c r="I119" i="26"/>
  <c r="I127" i="26"/>
  <c r="I135" i="26"/>
  <c r="I143" i="26"/>
  <c r="I151" i="26"/>
  <c r="I159" i="26"/>
  <c r="I167" i="26"/>
  <c r="I175" i="26"/>
  <c r="I183" i="26"/>
  <c r="I191" i="26"/>
  <c r="H25" i="22"/>
  <c r="E40" i="22" s="1"/>
  <c r="A37" i="22"/>
  <c r="K63" i="27"/>
  <c r="E25" i="28" s="1"/>
  <c r="H25" i="28" s="1"/>
  <c r="I25" i="28" s="1"/>
  <c r="H58" i="27"/>
  <c r="H60" i="27"/>
  <c r="F31" i="27"/>
  <c r="K9" i="27" s="1"/>
  <c r="F40" i="27"/>
  <c r="K33" i="27" s="1"/>
  <c r="K80" i="27"/>
  <c r="L80" i="27" s="1"/>
  <c r="O1" i="20"/>
  <c r="D34" i="22"/>
  <c r="E26" i="28" l="1"/>
  <c r="H26" i="28" s="1"/>
  <c r="I26" i="28" s="1"/>
  <c r="L63" i="27"/>
  <c r="M63" i="27" s="1"/>
  <c r="K43" i="27"/>
  <c r="L43" i="27" s="1"/>
  <c r="F24" i="28" s="1"/>
  <c r="L33" i="27"/>
  <c r="E23" i="28"/>
  <c r="H23" i="28" s="1"/>
  <c r="I23" i="28" s="1"/>
  <c r="E22" i="28"/>
  <c r="H22" i="28" s="1"/>
  <c r="I22" i="28" s="1"/>
  <c r="L9" i="27"/>
  <c r="F26" i="28"/>
  <c r="M80" i="27"/>
  <c r="F25" i="28" l="1"/>
  <c r="E24" i="28"/>
  <c r="H24" i="28" s="1"/>
  <c r="I24" i="28" s="1"/>
  <c r="M43" i="27"/>
  <c r="M33" i="27"/>
  <c r="F23" i="28"/>
  <c r="M9" i="27"/>
  <c r="F22" i="28"/>
  <c r="H27" i="28" l="1"/>
  <c r="B17" i="28" s="1"/>
  <c r="D17" i="28" s="1"/>
  <c r="E27" i="28"/>
  <c r="K2" i="27"/>
</calcChain>
</file>

<file path=xl/sharedStrings.xml><?xml version="1.0" encoding="utf-8"?>
<sst xmlns="http://schemas.openxmlformats.org/spreadsheetml/2006/main" count="2205" uniqueCount="1689">
  <si>
    <t>PANAMA CAR RENTAL, S.A.</t>
  </si>
  <si>
    <t>PROFORMA</t>
  </si>
  <si>
    <t>FACTURA</t>
  </si>
  <si>
    <t>CARTA PROMESA - SI EL AUTO ES FINANCIADO</t>
  </si>
  <si>
    <t>REGISTRO VEHICULAR</t>
  </si>
  <si>
    <t>DOCUMENTO DE TRASPASO</t>
  </si>
  <si>
    <t>TARJETA DE TRASPASO LIBERANDO HIPOTECA</t>
  </si>
  <si>
    <t>CARTAS DEL BANCO LIBERADO HIPOTECA</t>
  </si>
  <si>
    <t>DOCUMENTO DE CHECK LIST/RECIBO CONFORME EN VENTAS</t>
  </si>
  <si>
    <t>2 LLAVES</t>
  </si>
  <si>
    <t>CONTRATO DE COMPRA</t>
  </si>
  <si>
    <t xml:space="preserve">TARJETA DE TRASPASO COMPLETA Y FIRMADA </t>
  </si>
  <si>
    <t>PARA TRASPASAR - AUTO VENDIDO</t>
  </si>
  <si>
    <t>HOJA DE CONTABILIDAD COMPLETA</t>
  </si>
  <si>
    <t xml:space="preserve">PLACA ( LATA ): </t>
  </si>
  <si>
    <t xml:space="preserve">RECIBO DE PLACA: </t>
  </si>
  <si>
    <t>RADIO:</t>
  </si>
  <si>
    <t>SEGUNDA LLAVE:</t>
  </si>
  <si>
    <t>ALFOMBRAS:</t>
  </si>
  <si>
    <t>PLACA:</t>
  </si>
  <si>
    <t>CLIENTE:</t>
  </si>
  <si>
    <t>RECIBO DE TRASPASO:</t>
  </si>
  <si>
    <t>REGISTRO ÚNICO VEHICULAR:</t>
  </si>
  <si>
    <t xml:space="preserve">ÚLTIMO REVISADO: </t>
  </si>
  <si>
    <t>MARCA:</t>
  </si>
  <si>
    <t>MODELO:</t>
  </si>
  <si>
    <t>FECHA:</t>
  </si>
  <si>
    <t>AÑO:</t>
  </si>
  <si>
    <t>N° GENSYS:</t>
  </si>
  <si>
    <t>CARÁTULA DE RADIO</t>
  </si>
  <si>
    <t>CONTRATO DE CONSIGNACIÓN FIRMADO</t>
  </si>
  <si>
    <t xml:space="preserve">AUTORIZACIÓN DE TRASPASO </t>
  </si>
  <si>
    <t>COPIA DE CÉDULA DEL VENDEDOR</t>
  </si>
  <si>
    <t>ÚLTIMO PAGO DE PLACA</t>
  </si>
  <si>
    <t>ÚLTIMO REVISADO</t>
  </si>
  <si>
    <t>CONTRATO COMO ESTÁ/DONDE ESTÁ - SI EL AUTO NO LLEVA GARANTÍA</t>
  </si>
  <si>
    <t>TIPO:</t>
  </si>
  <si>
    <t>MOTOR:</t>
  </si>
  <si>
    <t>CHASIS:</t>
  </si>
  <si>
    <t>COLOR:</t>
  </si>
  <si>
    <t>Total</t>
  </si>
  <si>
    <t>PRUEBA DE MANEJO</t>
  </si>
  <si>
    <t xml:space="preserve">DOCUMENTO DE RECIBO CONFORME Y EXONERACION </t>
  </si>
  <si>
    <t>COPIA DE DOCUMENTO TRASPASADO</t>
  </si>
  <si>
    <t>FORMULARIO REPORTE DE TRANSFERENCIAS EN EFECTIVO (R.T.E)</t>
  </si>
  <si>
    <t>CONTRATO DE COMPRA VENTA</t>
  </si>
  <si>
    <t>CONTRATO DE COMPRA (SI ES TRADE IN)</t>
  </si>
  <si>
    <t>GERENTE GENERAL</t>
  </si>
  <si>
    <t>PCR</t>
  </si>
  <si>
    <t>FINANCIADO</t>
  </si>
  <si>
    <t>HYUNDAI</t>
  </si>
  <si>
    <t>ACCENT</t>
  </si>
  <si>
    <t>POLÍTICA CONOZCA A SU CLIENTE</t>
  </si>
  <si>
    <t>FORMULARIO ÚNICO DE IDENTIFICACIÓN DE CLIENTE PERSONA NATURAL</t>
  </si>
  <si>
    <t>DATOS GENERALES</t>
  </si>
  <si>
    <t>PRIMER NOMBRE:</t>
  </si>
  <si>
    <t>SEGUNDO NOMBRE:</t>
  </si>
  <si>
    <t>APELLIDO PATERNO:</t>
  </si>
  <si>
    <t>APELLIDO:</t>
  </si>
  <si>
    <t>APELLIDO DE CASADA:</t>
  </si>
  <si>
    <t>PAÍS DE NACIMIENTO:</t>
  </si>
  <si>
    <t>FECHA DE NACIMIENTO:</t>
  </si>
  <si>
    <t>NACIONALIDAD:</t>
  </si>
  <si>
    <t>SEXO:</t>
  </si>
  <si>
    <t>CÉDULA / N° PASAPORTE:</t>
  </si>
  <si>
    <t>ESTADO CIVIL:</t>
  </si>
  <si>
    <t>PAIS DE RESIDENCIA:</t>
  </si>
  <si>
    <t>DIRECCIÓN RESIDENCIAL:</t>
  </si>
  <si>
    <t>APARTADO POSTAL:</t>
  </si>
  <si>
    <t>CORREO ELECTRÓNICO:</t>
  </si>
  <si>
    <t>TELÉFONO RESIDENCIAL:</t>
  </si>
  <si>
    <t>CELULAR:</t>
  </si>
  <si>
    <t>FAX:</t>
  </si>
  <si>
    <t>DATOS OCUPACIONALES</t>
  </si>
  <si>
    <t>PROFESIÓN:</t>
  </si>
  <si>
    <t>OCUPACIÓN:</t>
  </si>
  <si>
    <t>NOMBRE DE LA EMPRESA:</t>
  </si>
  <si>
    <t>DIRECCIÓN DE LA EMPRESA:</t>
  </si>
  <si>
    <t>TELÉFONO:</t>
  </si>
  <si>
    <t>DECLARACIÓN DE INVESTIGACIÓN</t>
  </si>
  <si>
    <t>INDIQUE SI UD. HA SIDO OBJETO DE INVESTIGACIÓN, INDAGACIÓN O CONDENA POR ACTIVIDADES ILÍCITAS, O DELITOS DE LAVADO O BLANQUEO DE DINERO O FINANCIAMIENTO DE TERRORISMO.</t>
  </si>
  <si>
    <t>DECLARACIÓN</t>
  </si>
  <si>
    <t>DECLARO QUE LA INFORMACIÓN CONTENIDA EN ESTE FORMULARIO ES VERDADERA, COMPLETA Y PROPORCIONA LOS DATOS DE FORMA CONFIABLE Y ACTUALIZADA SOBRE TODOS LOS ASPECTOS CONSULTADOS Y POR ESTE MEDIO ACEPTO QUE LA MISMA PUEDE SER CONSULTADA CON EL OBJETO DE SER CORROBORADA.</t>
  </si>
  <si>
    <t>DECLARACIÓN DE FUENTE Y ORÍGEN DE LOS RECURSOS DE LA TRANSACCIÓN</t>
  </si>
  <si>
    <t>DECLARO QUE TODAS MIS ACTIVIDADES SE ENCUENTRAN DENTRO DE LAS NORMAS Y REGULACIONES LEGALES PANAMEÑAS Y QUE LOS RECURSOS UTILIZADOS PARA LA COMPRA PROVIENE DE LAS SIGUIENTES FUENTES (DETALLE ACTIVIDADES):</t>
  </si>
  <si>
    <t>CONSENTIMIENTO</t>
  </si>
  <si>
    <t>PERSONAS EXPUESTAS POLITICAMENTE</t>
  </si>
  <si>
    <t>LAS PERSONAS POLÍTICAMENTE EXPUESTAS SON AQUELLAS QUE DESEMPEÑAN O HAN DESEMPEAÑADO FUNCIONES DESTACADAS EN UN PAÍS EXTRANJERO O EN SU PROPIO PAÍS POR EJEMPLO: JEFES DE ESTADO DE UN GOBIERNO, POLÍTICOS DE ALTA JERARQUÍA, FUNCIONARIOS GUBERNAMENTALES, JUDICIALES O MILITARES DE ALTA JERARQUÍA, ALTOS EJECUTIVOS DE EMPRESAS ESTATALES Y FUNCIONARIOS IMPORTANTES DE PARTIDOS POLÍTICOS.</t>
  </si>
  <si>
    <t>¿ES UD. UNA PERSONA EXPUESTA POLÍTICAMENTE?</t>
  </si>
  <si>
    <t>CARGO ACTUAL O ANTERIOR:</t>
  </si>
  <si>
    <t>PERFIL FINANCIERO</t>
  </si>
  <si>
    <t>DE USD 10M A 30M</t>
  </si>
  <si>
    <t>DE USD 30M A 50M</t>
  </si>
  <si>
    <t>DE USD 50M A 100M</t>
  </si>
  <si>
    <t>MAS DE USD 100M</t>
  </si>
  <si>
    <t>REFERENCIA COMERCIAL</t>
  </si>
  <si>
    <t>RAZÓN SOCIAL</t>
  </si>
  <si>
    <t>ACTIVIDAD</t>
  </si>
  <si>
    <t>TELÉFONO DE CONTACTO</t>
  </si>
  <si>
    <t>REFERENCIA PERSONAL</t>
  </si>
  <si>
    <t>NOMBRES Y APELLIDOS</t>
  </si>
  <si>
    <t>REFERENCIA BANCARIA</t>
  </si>
  <si>
    <t>DOCUMENTACIÓN REQUERIDA</t>
  </si>
  <si>
    <t>CONFORMIDAD DEL CLIENTE</t>
  </si>
  <si>
    <t>FIRMA DEL CLIENTE:</t>
  </si>
  <si>
    <t>LUGAR Y FECHA:</t>
  </si>
  <si>
    <t>SOLO PARA USO DE LA EMPRESA</t>
  </si>
  <si>
    <t>NOMBRES Y APELLIDOS DEL VENDEDOR</t>
  </si>
  <si>
    <t>FECHA DE ELABORACIÓN</t>
  </si>
  <si>
    <t>FIRMA</t>
  </si>
  <si>
    <t>NOMBRES Y APELLIDOS DEL ENCARGADO DE LA  SUCURSAL</t>
  </si>
  <si>
    <t>FECHA DE REVISIÓN</t>
  </si>
  <si>
    <t>RAZÓN SOCIAL:</t>
  </si>
  <si>
    <t>COPIA FICHA DEL SEGURO SOCIAL (Persona Natural Asalariada)</t>
  </si>
  <si>
    <t>CARTA DE TRABAJO (Persona Natural Asalariada)</t>
  </si>
  <si>
    <t>COPIA DEL ÚLTIMO COMPROBANTE DE PAGO O TALONARIO (Persona Natural Asalariada)</t>
  </si>
  <si>
    <t>COPIA ÚLTIMA DECLARACIÓN DE IMPUESTO SOBRE LA RENTA</t>
  </si>
  <si>
    <t>ESTADO DE CUENTA BANCARIO (3 ULTIMOS MESES)</t>
  </si>
  <si>
    <t>VENDEDOR:</t>
  </si>
  <si>
    <t>ENCARGADO SUCURSAL:</t>
  </si>
  <si>
    <t>RECIBIDO</t>
  </si>
  <si>
    <t>____________________________________________</t>
  </si>
  <si>
    <t>RECIBOS DE PAGO</t>
  </si>
  <si>
    <t>CONTROL DE DOCUMENTOS DE AUTOS</t>
  </si>
  <si>
    <t>SI ES DE DOLLAR</t>
  </si>
  <si>
    <t>FECHA ENTREGA:</t>
  </si>
  <si>
    <t>DATOS DEL VEHÍCULO</t>
  </si>
  <si>
    <t>KILOMETRAJE:</t>
  </si>
  <si>
    <t>PAÍS DE RESIDENCIA:</t>
  </si>
  <si>
    <t>SI:</t>
  </si>
  <si>
    <t>NO:</t>
  </si>
  <si>
    <t>DECLARACIÓN DE FUENTE Y ORIGEN DE LOS RECURSOS DE LA TRANSACCIÓN</t>
  </si>
  <si>
    <t>PERSONAS EXPUESTA POLÍTICAMENTE</t>
  </si>
  <si>
    <t>ACTIVIDAD:</t>
  </si>
  <si>
    <t>CONTACTO:</t>
  </si>
  <si>
    <t>N° CUENTA:</t>
  </si>
  <si>
    <t>VENEZUELA</t>
  </si>
  <si>
    <t>SUCURSAL</t>
  </si>
  <si>
    <t>SUCURSAL:</t>
  </si>
  <si>
    <t>CIUDAD:</t>
  </si>
  <si>
    <t>TUMBA MUERTO</t>
  </si>
  <si>
    <t>VÍA ISRAEL</t>
  </si>
  <si>
    <t>PANAMÁ</t>
  </si>
  <si>
    <t>CIUDAD</t>
  </si>
  <si>
    <t>TIPO DE PAGO</t>
  </si>
  <si>
    <t>VENDEDOR</t>
  </si>
  <si>
    <t>EDDY MONEGRO</t>
  </si>
  <si>
    <t>CARLOS SUIRA</t>
  </si>
  <si>
    <t>ISAIAS JUAREZ</t>
  </si>
  <si>
    <t>ENCARGADO</t>
  </si>
  <si>
    <t>IVAN RODRÍGUEZ</t>
  </si>
  <si>
    <t>MARCA</t>
  </si>
  <si>
    <t>MODELO</t>
  </si>
  <si>
    <t>AÑO</t>
  </si>
  <si>
    <t>ABARTH</t>
  </si>
  <si>
    <t>ALFA ROMEO</t>
  </si>
  <si>
    <t>ASTON MARTIN</t>
  </si>
  <si>
    <t>AUDI</t>
  </si>
  <si>
    <t>BENTLEY</t>
  </si>
  <si>
    <t>BMW</t>
  </si>
  <si>
    <t>CHEVROLET</t>
  </si>
  <si>
    <t>CITROEN</t>
  </si>
  <si>
    <t>DACIA</t>
  </si>
  <si>
    <t>FERRARI</t>
  </si>
  <si>
    <t>FIAT</t>
  </si>
  <si>
    <t>FORD</t>
  </si>
  <si>
    <t>HONDA</t>
  </si>
  <si>
    <t>INFINITI</t>
  </si>
  <si>
    <t>ISUZU</t>
  </si>
  <si>
    <t>JAGUAR</t>
  </si>
  <si>
    <t>JEEP</t>
  </si>
  <si>
    <t>KIA</t>
  </si>
  <si>
    <t>LADA</t>
  </si>
  <si>
    <t>LAMBORGHINI</t>
  </si>
  <si>
    <t>LANCIA</t>
  </si>
  <si>
    <t>LEXUS</t>
  </si>
  <si>
    <t>MAHINDRA</t>
  </si>
  <si>
    <t>MASERATI</t>
  </si>
  <si>
    <t>MAZDA</t>
  </si>
  <si>
    <t>MINI</t>
  </si>
  <si>
    <t>MITSUBISHI</t>
  </si>
  <si>
    <t>MORGAN</t>
  </si>
  <si>
    <t>NISSAN</t>
  </si>
  <si>
    <t>OPEL</t>
  </si>
  <si>
    <t>PEUGEOT</t>
  </si>
  <si>
    <t>PORSCHE</t>
  </si>
  <si>
    <t>RENAULT</t>
  </si>
  <si>
    <t>ROLLS-ROYCE</t>
  </si>
  <si>
    <t>SEAT</t>
  </si>
  <si>
    <t>SKODA</t>
  </si>
  <si>
    <t>SMART</t>
  </si>
  <si>
    <t>SSANGYONG</t>
  </si>
  <si>
    <t>SUBARU</t>
  </si>
  <si>
    <t>SUZUKI</t>
  </si>
  <si>
    <t>TATA</t>
  </si>
  <si>
    <t>TOYOTA</t>
  </si>
  <si>
    <t>VOLKSWAGEN</t>
  </si>
  <si>
    <t>VOLVO</t>
  </si>
  <si>
    <t>370Z</t>
  </si>
  <si>
    <t>500C</t>
  </si>
  <si>
    <t>500L</t>
  </si>
  <si>
    <t>A1</t>
  </si>
  <si>
    <t>A3</t>
  </si>
  <si>
    <t>A4</t>
  </si>
  <si>
    <t>A4 ALLROAD QUATTRO</t>
  </si>
  <si>
    <t>A5</t>
  </si>
  <si>
    <t>A6</t>
  </si>
  <si>
    <t>A6 ALLROAD QUATTRO</t>
  </si>
  <si>
    <t>A7</t>
  </si>
  <si>
    <t>A8</t>
  </si>
  <si>
    <t>ACCORD</t>
  </si>
  <si>
    <t>ACTYON SPORTS PICK UP</t>
  </si>
  <si>
    <t>ADAM</t>
  </si>
  <si>
    <t>ALHAMBRA</t>
  </si>
  <si>
    <t>ALTEA</t>
  </si>
  <si>
    <t>ALTEA XL</t>
  </si>
  <si>
    <t>AMAROK</t>
  </si>
  <si>
    <t>AMPERA</t>
  </si>
  <si>
    <t>ANTARA</t>
  </si>
  <si>
    <t>ARIA</t>
  </si>
  <si>
    <t>ASTRA</t>
  </si>
  <si>
    <t>ASX</t>
  </si>
  <si>
    <t>AURIS</t>
  </si>
  <si>
    <t>AVENSIS</t>
  </si>
  <si>
    <t>AVENTADOR</t>
  </si>
  <si>
    <t>AVEO</t>
  </si>
  <si>
    <t>AYGO</t>
  </si>
  <si>
    <t>BEETLE</t>
  </si>
  <si>
    <t>BERLINGO</t>
  </si>
  <si>
    <t>BIPPER</t>
  </si>
  <si>
    <t>BOXSTER</t>
  </si>
  <si>
    <t>BRAVO</t>
  </si>
  <si>
    <t>BRZ</t>
  </si>
  <si>
    <t>C1</t>
  </si>
  <si>
    <t>C3</t>
  </si>
  <si>
    <t>C3 PICASSO</t>
  </si>
  <si>
    <t>C4</t>
  </si>
  <si>
    <t>C4 AIRCROSS</t>
  </si>
  <si>
    <t>C4 PICASSO</t>
  </si>
  <si>
    <t>C5</t>
  </si>
  <si>
    <t>CABRIO</t>
  </si>
  <si>
    <t>CADDY</t>
  </si>
  <si>
    <t>CALIFORNIA</t>
  </si>
  <si>
    <t>CAMARO</t>
  </si>
  <si>
    <t>CARAVELLE</t>
  </si>
  <si>
    <t>CARENS</t>
  </si>
  <si>
    <t>CAYENNE</t>
  </si>
  <si>
    <t>CAYMAN</t>
  </si>
  <si>
    <t>CC</t>
  </si>
  <si>
    <t>CHEROKEE</t>
  </si>
  <si>
    <t>CITIGO</t>
  </si>
  <si>
    <t>CIVIC</t>
  </si>
  <si>
    <t>CLASE A</t>
  </si>
  <si>
    <t>CLASE B</t>
  </si>
  <si>
    <t>CLASE C</t>
  </si>
  <si>
    <t>CLASE CL</t>
  </si>
  <si>
    <t>CLASE CLS</t>
  </si>
  <si>
    <t>CLASE E</t>
  </si>
  <si>
    <t>CLASE G</t>
  </si>
  <si>
    <t>CLASE GL</t>
  </si>
  <si>
    <t>CLASE GLK</t>
  </si>
  <si>
    <t>CLASE M</t>
  </si>
  <si>
    <t>CLASE S</t>
  </si>
  <si>
    <t>CLASE SL</t>
  </si>
  <si>
    <t>CLASE SLK</t>
  </si>
  <si>
    <t>CLASE V</t>
  </si>
  <si>
    <t>CLIO</t>
  </si>
  <si>
    <t>COMBO</t>
  </si>
  <si>
    <t>CONTINENTAL GT</t>
  </si>
  <si>
    <t>CONTINENTAL GTC</t>
  </si>
  <si>
    <t>CORSA</t>
  </si>
  <si>
    <t>COUNTRYMAN</t>
  </si>
  <si>
    <t>CRUZE</t>
  </si>
  <si>
    <t>CT</t>
  </si>
  <si>
    <t>DB9</t>
  </si>
  <si>
    <t>DEFENDER</t>
  </si>
  <si>
    <t>DELTA</t>
  </si>
  <si>
    <t>DISCOVERY 4</t>
  </si>
  <si>
    <t>DUSTER</t>
  </si>
  <si>
    <t>ELANTRA</t>
  </si>
  <si>
    <t>EOS</t>
  </si>
  <si>
    <t>ESPACE</t>
  </si>
  <si>
    <t>EVALIA</t>
  </si>
  <si>
    <t>FABIA</t>
  </si>
  <si>
    <t>FF</t>
  </si>
  <si>
    <t>FIESTA</t>
  </si>
  <si>
    <t>FIORINO</t>
  </si>
  <si>
    <t>FLUENCE</t>
  </si>
  <si>
    <t>FOCUS</t>
  </si>
  <si>
    <t>FORESTER</t>
  </si>
  <si>
    <t>FORFOUR</t>
  </si>
  <si>
    <t>FORTWO</t>
  </si>
  <si>
    <t>FREELANDER</t>
  </si>
  <si>
    <t>FREEMONT</t>
  </si>
  <si>
    <t>GALAXY</t>
  </si>
  <si>
    <t>GENESIS</t>
  </si>
  <si>
    <t>GHIBLI</t>
  </si>
  <si>
    <t>GIULIETTA</t>
  </si>
  <si>
    <t>GOLF</t>
  </si>
  <si>
    <t>GRANCABRIO</t>
  </si>
  <si>
    <t>GRAND C4 PICASSO</t>
  </si>
  <si>
    <t>GRAND CHEROKEE</t>
  </si>
  <si>
    <t>GRAND KANGOO COMBI</t>
  </si>
  <si>
    <t>GRAND VITARA</t>
  </si>
  <si>
    <t>GRANTURISMO</t>
  </si>
  <si>
    <t>GS</t>
  </si>
  <si>
    <t>GT86</t>
  </si>
  <si>
    <t>HILUX</t>
  </si>
  <si>
    <t>I10</t>
  </si>
  <si>
    <t>I20</t>
  </si>
  <si>
    <t>I30</t>
  </si>
  <si>
    <t>I40</t>
  </si>
  <si>
    <t>IBIZA</t>
  </si>
  <si>
    <t>INSIGNIA</t>
  </si>
  <si>
    <t>ION</t>
  </si>
  <si>
    <t>IS</t>
  </si>
  <si>
    <t>IX20</t>
  </si>
  <si>
    <t>IX35</t>
  </si>
  <si>
    <t>JAZZ</t>
  </si>
  <si>
    <t>JETTA</t>
  </si>
  <si>
    <t>JIMNY</t>
  </si>
  <si>
    <t>JUKE</t>
  </si>
  <si>
    <t>KA</t>
  </si>
  <si>
    <t>KANGOO COMBI</t>
  </si>
  <si>
    <t>KIZASHI</t>
  </si>
  <si>
    <t>KOLEOS</t>
  </si>
  <si>
    <t>KORANDO</t>
  </si>
  <si>
    <t>KUGA</t>
  </si>
  <si>
    <t>L200</t>
  </si>
  <si>
    <t>LAGUNA</t>
  </si>
  <si>
    <t>LAND CRUISER</t>
  </si>
  <si>
    <t>LAND CRUISER 200</t>
  </si>
  <si>
    <t>LATITUDE</t>
  </si>
  <si>
    <t>LEAF</t>
  </si>
  <si>
    <t>LODGY</t>
  </si>
  <si>
    <t>LOGAN</t>
  </si>
  <si>
    <t>LS</t>
  </si>
  <si>
    <t>MAZDA2</t>
  </si>
  <si>
    <t>MAZDA3</t>
  </si>
  <si>
    <t>MAZDA5</t>
  </si>
  <si>
    <t>MAZDA6</t>
  </si>
  <si>
    <t>MERIVA</t>
  </si>
  <si>
    <t>MICRA</t>
  </si>
  <si>
    <t>MII</t>
  </si>
  <si>
    <t>MITO</t>
  </si>
  <si>
    <t>MOKKA</t>
  </si>
  <si>
    <t>MONDEO</t>
  </si>
  <si>
    <t>MONTERO</t>
  </si>
  <si>
    <t>MULSANNE</t>
  </si>
  <si>
    <t>MULTIVAN</t>
  </si>
  <si>
    <t>MURANO</t>
  </si>
  <si>
    <t>NAVARA</t>
  </si>
  <si>
    <t>NEMO</t>
  </si>
  <si>
    <t>NOTE</t>
  </si>
  <si>
    <t>OCTAVIA</t>
  </si>
  <si>
    <t>OPTIMA</t>
  </si>
  <si>
    <t>ORLANDO</t>
  </si>
  <si>
    <t>OUTBACK</t>
  </si>
  <si>
    <t>OUTLANDER</t>
  </si>
  <si>
    <t>PACEMAN</t>
  </si>
  <si>
    <t>PANAMERA</t>
  </si>
  <si>
    <t>PANDA</t>
  </si>
  <si>
    <t>PARTNER</t>
  </si>
  <si>
    <t>PASSAT</t>
  </si>
  <si>
    <t>PATHFINDER</t>
  </si>
  <si>
    <t>PHAETON</t>
  </si>
  <si>
    <t>PHANTOM</t>
  </si>
  <si>
    <t>PICANTO</t>
  </si>
  <si>
    <t>PLUS 4</t>
  </si>
  <si>
    <t>PLUS 8</t>
  </si>
  <si>
    <t>POLO</t>
  </si>
  <si>
    <t>PRIORA</t>
  </si>
  <si>
    <t>PRIUS</t>
  </si>
  <si>
    <t>PUNTO</t>
  </si>
  <si>
    <t>Q3</t>
  </si>
  <si>
    <t>Q5</t>
  </si>
  <si>
    <t>Q7</t>
  </si>
  <si>
    <t>QASHQAI</t>
  </si>
  <si>
    <t>QUATTROPORTE</t>
  </si>
  <si>
    <t>QUBO</t>
  </si>
  <si>
    <t>R8</t>
  </si>
  <si>
    <t>RANGE ROVER</t>
  </si>
  <si>
    <t>RANGE ROVER EVOQUE</t>
  </si>
  <si>
    <t>RANGE ROVER SPORT</t>
  </si>
  <si>
    <t>RAPID</t>
  </si>
  <si>
    <t>RAPIDE</t>
  </si>
  <si>
    <t>RAV4</t>
  </si>
  <si>
    <t>RCZ</t>
  </si>
  <si>
    <t>REXTON</t>
  </si>
  <si>
    <t>RIO</t>
  </si>
  <si>
    <t>ROADSTER</t>
  </si>
  <si>
    <t>RODIUS</t>
  </si>
  <si>
    <t>ROOMSTER</t>
  </si>
  <si>
    <t>RS3</t>
  </si>
  <si>
    <t>RS4</t>
  </si>
  <si>
    <t>RS5</t>
  </si>
  <si>
    <t>RS6</t>
  </si>
  <si>
    <t>RX</t>
  </si>
  <si>
    <t>S3</t>
  </si>
  <si>
    <t>S4</t>
  </si>
  <si>
    <t>S5</t>
  </si>
  <si>
    <t>S6</t>
  </si>
  <si>
    <t>S60</t>
  </si>
  <si>
    <t>S7</t>
  </si>
  <si>
    <t>S8</t>
  </si>
  <si>
    <t>S80</t>
  </si>
  <si>
    <t>SANDERO</t>
  </si>
  <si>
    <t>SANTA FE</t>
  </si>
  <si>
    <t>SCIROCCO</t>
  </si>
  <si>
    <t>SCOUT</t>
  </si>
  <si>
    <t>SERIE 1</t>
  </si>
  <si>
    <t>SERIE 3</t>
  </si>
  <si>
    <t>SERIE 5</t>
  </si>
  <si>
    <t>SERIE 6</t>
  </si>
  <si>
    <t>SERIE 7</t>
  </si>
  <si>
    <t>SERIE XK</t>
  </si>
  <si>
    <t>SHARAN</t>
  </si>
  <si>
    <t>SLS AMG</t>
  </si>
  <si>
    <t>SORENTO</t>
  </si>
  <si>
    <t>SOUL</t>
  </si>
  <si>
    <t>SPACE STAR</t>
  </si>
  <si>
    <t>SPARK</t>
  </si>
  <si>
    <t>SPORTAGE</t>
  </si>
  <si>
    <t>SQ5</t>
  </si>
  <si>
    <t>SUPERB</t>
  </si>
  <si>
    <t>SWIFT</t>
  </si>
  <si>
    <t>SX4</t>
  </si>
  <si>
    <t>THEMA</t>
  </si>
  <si>
    <t>TIGUAN</t>
  </si>
  <si>
    <t>TOLEDO</t>
  </si>
  <si>
    <t>TOUAREG</t>
  </si>
  <si>
    <t>TOURAN</t>
  </si>
  <si>
    <t>TOURNEO CUSTOM</t>
  </si>
  <si>
    <t>TRANSPORTER</t>
  </si>
  <si>
    <t>TT</t>
  </si>
  <si>
    <t>TTS</t>
  </si>
  <si>
    <t>TWINGO</t>
  </si>
  <si>
    <t>V40</t>
  </si>
  <si>
    <t>V40 CROSS COUNTRY</t>
  </si>
  <si>
    <t>V60</t>
  </si>
  <si>
    <t>V70</t>
  </si>
  <si>
    <t>VANQUISH</t>
  </si>
  <si>
    <t>VANTAGE V12</t>
  </si>
  <si>
    <t>VANTAGE V8</t>
  </si>
  <si>
    <t>VELOSTER</t>
  </si>
  <si>
    <t>VENGA</t>
  </si>
  <si>
    <t>VERSO</t>
  </si>
  <si>
    <t>VISTA</t>
  </si>
  <si>
    <t>VITARA</t>
  </si>
  <si>
    <t>VITO</t>
  </si>
  <si>
    <t>VOYAGER</t>
  </si>
  <si>
    <t>WRANGLER</t>
  </si>
  <si>
    <t>WRANGLER UNLIMITED</t>
  </si>
  <si>
    <t>WRX STI</t>
  </si>
  <si>
    <t>X1</t>
  </si>
  <si>
    <t>X3</t>
  </si>
  <si>
    <t>X5</t>
  </si>
  <si>
    <t>X6</t>
  </si>
  <si>
    <t>XC60</t>
  </si>
  <si>
    <t>XC70</t>
  </si>
  <si>
    <t>XC90</t>
  </si>
  <si>
    <t>XENON</t>
  </si>
  <si>
    <t>XF</t>
  </si>
  <si>
    <t>XJ</t>
  </si>
  <si>
    <t>XV</t>
  </si>
  <si>
    <t>YARIS</t>
  </si>
  <si>
    <t>YETI</t>
  </si>
  <si>
    <t>YPSILON</t>
  </si>
  <si>
    <t>Z4</t>
  </si>
  <si>
    <t>ZAFIRA</t>
  </si>
  <si>
    <t>ZAFIRA TOURER</t>
  </si>
  <si>
    <t>TIPO</t>
  </si>
  <si>
    <t>SEDÁN</t>
  </si>
  <si>
    <t>CAMIONETA</t>
  </si>
  <si>
    <t>FAMILIAR</t>
  </si>
  <si>
    <t>COMERCIAL</t>
  </si>
  <si>
    <t>PAÍS</t>
  </si>
  <si>
    <t>AFGANISTÁN</t>
  </si>
  <si>
    <t>ALBANIA</t>
  </si>
  <si>
    <t>ALEMANIA</t>
  </si>
  <si>
    <t>ANDORRA</t>
  </si>
  <si>
    <t>ANGOLA</t>
  </si>
  <si>
    <t>ANTIGUA Y BARBUDA</t>
  </si>
  <si>
    <t>ARABIA SAUDITA</t>
  </si>
  <si>
    <t>ARGELIA</t>
  </si>
  <si>
    <t>ARGENTINA</t>
  </si>
  <si>
    <t>ARMENIA</t>
  </si>
  <si>
    <t>AUSTRALIA</t>
  </si>
  <si>
    <t>AUSTRIA</t>
  </si>
  <si>
    <t>AZERBAIYÁN</t>
  </si>
  <si>
    <t>BAHAMAS</t>
  </si>
  <si>
    <t>BANGLADÉS</t>
  </si>
  <si>
    <t>BARBADOS</t>
  </si>
  <si>
    <t>BARÉIN</t>
  </si>
  <si>
    <t>BÉLGICA</t>
  </si>
  <si>
    <t>BELICE</t>
  </si>
  <si>
    <t>BENÍN</t>
  </si>
  <si>
    <t>BIELORRUSIA</t>
  </si>
  <si>
    <t>BIRMANIA</t>
  </si>
  <si>
    <t>BOLIVIA</t>
  </si>
  <si>
    <t>BOSNIA Y HERZEGOVINA</t>
  </si>
  <si>
    <t>BOTSUANA</t>
  </si>
  <si>
    <t>BRASIL</t>
  </si>
  <si>
    <t>BRUNÉI</t>
  </si>
  <si>
    <t>BULGARIA</t>
  </si>
  <si>
    <t>BURKINA FASO</t>
  </si>
  <si>
    <t>BURUNDI</t>
  </si>
  <si>
    <t>BUTÁN</t>
  </si>
  <si>
    <t>CABO VERDE</t>
  </si>
  <si>
    <t>CAMBOYA</t>
  </si>
  <si>
    <t>CAMERÚN</t>
  </si>
  <si>
    <t>CANADÁ</t>
  </si>
  <si>
    <t>CATAR</t>
  </si>
  <si>
    <t>CHAD</t>
  </si>
  <si>
    <t>CHILE</t>
  </si>
  <si>
    <t>CHINA</t>
  </si>
  <si>
    <t>CHIPRE</t>
  </si>
  <si>
    <t>CIUDAD DEL VATICANO</t>
  </si>
  <si>
    <t>COLOMBIA</t>
  </si>
  <si>
    <t>COMORAS</t>
  </si>
  <si>
    <t>COREA DEL NORTE</t>
  </si>
  <si>
    <t>COREA DEL SUR</t>
  </si>
  <si>
    <t>COSTA DE MARFIL</t>
  </si>
  <si>
    <t>COSTA RICA</t>
  </si>
  <si>
    <t>CROACIA</t>
  </si>
  <si>
    <t>CUBA</t>
  </si>
  <si>
    <t>DINAMARCA</t>
  </si>
  <si>
    <t>DOMINICA</t>
  </si>
  <si>
    <t>ECUADOR</t>
  </si>
  <si>
    <t>EGIPTO</t>
  </si>
  <si>
    <t>EL SALVADOR</t>
  </si>
  <si>
    <t>EMIRATOS ÁRABES UNIDOS</t>
  </si>
  <si>
    <t>ERITREA</t>
  </si>
  <si>
    <t>ESLOVAQUIA</t>
  </si>
  <si>
    <t>ESLOVENIA</t>
  </si>
  <si>
    <t>ESPAÑA</t>
  </si>
  <si>
    <t>ESTADOS UNIDOS</t>
  </si>
  <si>
    <t>ESTONIA</t>
  </si>
  <si>
    <t>ETIOPÍA</t>
  </si>
  <si>
    <t>FILIPINAS</t>
  </si>
  <si>
    <t>FINLANDIA</t>
  </si>
  <si>
    <t>FIYI</t>
  </si>
  <si>
    <t>FRANCIA</t>
  </si>
  <si>
    <t>GABÓN</t>
  </si>
  <si>
    <t>GAMBIA</t>
  </si>
  <si>
    <t>GEORGIA</t>
  </si>
  <si>
    <t>GHANA</t>
  </si>
  <si>
    <t>GRANADA</t>
  </si>
  <si>
    <t>GRECIA</t>
  </si>
  <si>
    <t>GUATEMALA</t>
  </si>
  <si>
    <t>GUYANA</t>
  </si>
  <si>
    <t>GUINEA</t>
  </si>
  <si>
    <t>GUINEA ECUATORIAL</t>
  </si>
  <si>
    <t>GUINEA-BISÁU</t>
  </si>
  <si>
    <t>HAITÍ</t>
  </si>
  <si>
    <t>HONDURAS</t>
  </si>
  <si>
    <t>HUNGRÍA</t>
  </si>
  <si>
    <t>INDIA</t>
  </si>
  <si>
    <t>INDONESIA</t>
  </si>
  <si>
    <t>IRAK</t>
  </si>
  <si>
    <t>IRÁN</t>
  </si>
  <si>
    <t>IRLANDA</t>
  </si>
  <si>
    <t>ISLANDIA</t>
  </si>
  <si>
    <t>ISLAS MARSHALL</t>
  </si>
  <si>
    <t>ISLAS SALOMÓN</t>
  </si>
  <si>
    <t>ISRAEL</t>
  </si>
  <si>
    <t>ITALIA</t>
  </si>
  <si>
    <t>JAMAICA</t>
  </si>
  <si>
    <t>JAPÓN</t>
  </si>
  <si>
    <t>JORDANIA</t>
  </si>
  <si>
    <t>KAZAJISTÁN</t>
  </si>
  <si>
    <t>KENIA</t>
  </si>
  <si>
    <t>KIRGUISTÁN</t>
  </si>
  <si>
    <t>KIRIBATI</t>
  </si>
  <si>
    <t>KUWAIT</t>
  </si>
  <si>
    <t>LAOS</t>
  </si>
  <si>
    <t>LESOTO</t>
  </si>
  <si>
    <t>LETONIA</t>
  </si>
  <si>
    <t>LÍBANO</t>
  </si>
  <si>
    <t>LIBERIA</t>
  </si>
  <si>
    <t>LIBIA</t>
  </si>
  <si>
    <t>LIECHTENSTEIN</t>
  </si>
  <si>
    <t>LITUANIA</t>
  </si>
  <si>
    <t>LUXEMBURGO</t>
  </si>
  <si>
    <t>MADAGASCAR</t>
  </si>
  <si>
    <t>MALASIA</t>
  </si>
  <si>
    <t>MALAUI</t>
  </si>
  <si>
    <t>MALDIVAS</t>
  </si>
  <si>
    <t>MALÍ</t>
  </si>
  <si>
    <t>MALTA</t>
  </si>
  <si>
    <t>MARRUECOS</t>
  </si>
  <si>
    <t>MAURICIO</t>
  </si>
  <si>
    <t>MAURITANIA</t>
  </si>
  <si>
    <t>MÉXICO</t>
  </si>
  <si>
    <t>MICRONESIA</t>
  </si>
  <si>
    <t>MOLDAVIA</t>
  </si>
  <si>
    <t>MÓNACO</t>
  </si>
  <si>
    <t>MONGOLIA</t>
  </si>
  <si>
    <t>MONTENEGRO</t>
  </si>
  <si>
    <t>MOZAMBIQUE</t>
  </si>
  <si>
    <t>NAMIBIA</t>
  </si>
  <si>
    <t>NAURU</t>
  </si>
  <si>
    <t>NEPAL</t>
  </si>
  <si>
    <t>NICARAGUA</t>
  </si>
  <si>
    <t>NÍGER</t>
  </si>
  <si>
    <t>NIGERIA</t>
  </si>
  <si>
    <t>NORUEGA</t>
  </si>
  <si>
    <t>NUEVA ZELANDA</t>
  </si>
  <si>
    <t>OMÁN</t>
  </si>
  <si>
    <t>PAÍSES BAJOS</t>
  </si>
  <si>
    <t>PAKISTÁN</t>
  </si>
  <si>
    <t>PALAOS</t>
  </si>
  <si>
    <t>PAPÚA NUEVA GUINEA</t>
  </si>
  <si>
    <t>PARAGUAY</t>
  </si>
  <si>
    <t>PERÚ</t>
  </si>
  <si>
    <t>POLONIA</t>
  </si>
  <si>
    <t>PORTUGAL</t>
  </si>
  <si>
    <t>REINO UNIDO</t>
  </si>
  <si>
    <t>REPÚBLICA CENTROAFRICANA</t>
  </si>
  <si>
    <t>REPÚBLICA CHECA</t>
  </si>
  <si>
    <t>REPÚBLICA DE MACEDONIA</t>
  </si>
  <si>
    <t>REPÚBLICA DEL CONGO</t>
  </si>
  <si>
    <t>REPÚBLICA DEMOCRÁTICA DEL CONGO</t>
  </si>
  <si>
    <t>REPÚBLICA DOMINICANA</t>
  </si>
  <si>
    <t>REPÚBLICA SUDAFRICANA</t>
  </si>
  <si>
    <t>RUANDA</t>
  </si>
  <si>
    <t>RUMANÍA</t>
  </si>
  <si>
    <t>RUSIA</t>
  </si>
  <si>
    <t>SAMOA</t>
  </si>
  <si>
    <t>SAN CRISTÓBAL Y NIEVES</t>
  </si>
  <si>
    <t>SAN MARINO</t>
  </si>
  <si>
    <t>SAN VICENTE Y LAS GRANADINAS</t>
  </si>
  <si>
    <t>SANTA LUCÍA</t>
  </si>
  <si>
    <t>SANTO TOMÉ Y PRÍNCIPE</t>
  </si>
  <si>
    <t>SENEGAL</t>
  </si>
  <si>
    <t>SERBIA</t>
  </si>
  <si>
    <t>SEYCHELLES</t>
  </si>
  <si>
    <t>SIERRA LEONA</t>
  </si>
  <si>
    <t>SINGAPUR</t>
  </si>
  <si>
    <t>SIRIA</t>
  </si>
  <si>
    <t>SOMALIA</t>
  </si>
  <si>
    <t>SRI LANKA</t>
  </si>
  <si>
    <t>SUAZILANDIA</t>
  </si>
  <si>
    <t>SUDÁN</t>
  </si>
  <si>
    <t>SUDÁN DEL SUR</t>
  </si>
  <si>
    <t>SUECIA</t>
  </si>
  <si>
    <t>SUIZA</t>
  </si>
  <si>
    <t>SURINAM</t>
  </si>
  <si>
    <t>TAILANDIA</t>
  </si>
  <si>
    <t>TANZANIA</t>
  </si>
  <si>
    <t>TAYIKISTÁN</t>
  </si>
  <si>
    <t>TIMOR ORIENTAL</t>
  </si>
  <si>
    <t>TOGO</t>
  </si>
  <si>
    <t>TONGA</t>
  </si>
  <si>
    <t>TRINIDAD Y TOBAGO</t>
  </si>
  <si>
    <t>TÚNEZ</t>
  </si>
  <si>
    <t>TURKMENISTÁN</t>
  </si>
  <si>
    <t>TURQUÍA</t>
  </si>
  <si>
    <t>TUVALU</t>
  </si>
  <si>
    <t>UCRANIA</t>
  </si>
  <si>
    <t>UGANDA</t>
  </si>
  <si>
    <t>URUGUAY</t>
  </si>
  <si>
    <t>UZBEKISTÁN</t>
  </si>
  <si>
    <t>VANUATU</t>
  </si>
  <si>
    <t>VIETNAM</t>
  </si>
  <si>
    <t>YEMEN</t>
  </si>
  <si>
    <t>YIBUTI</t>
  </si>
  <si>
    <t>ZAMBIA</t>
  </si>
  <si>
    <t>ZIMBABUE</t>
  </si>
  <si>
    <t/>
  </si>
  <si>
    <t>SEXO</t>
  </si>
  <si>
    <t>FEMENINO</t>
  </si>
  <si>
    <t>MASCULINO</t>
  </si>
  <si>
    <t>ESTADO CIVIL</t>
  </si>
  <si>
    <t>VIUDO (A)</t>
  </si>
  <si>
    <t>SOLTERO (A)</t>
  </si>
  <si>
    <t>CASADO (A)</t>
  </si>
  <si>
    <t>DIVORCIADO (A)</t>
  </si>
  <si>
    <t>ARO</t>
  </si>
  <si>
    <t>ASIA</t>
  </si>
  <si>
    <t>ASIA MOTORS</t>
  </si>
  <si>
    <t>AUSTIN</t>
  </si>
  <si>
    <t>AUVERLAND</t>
  </si>
  <si>
    <t>BERTONE</t>
  </si>
  <si>
    <t>CADILLAC</t>
  </si>
  <si>
    <t>CHRYSLER</t>
  </si>
  <si>
    <t>CORVETTE</t>
  </si>
  <si>
    <t>DAEWOO</t>
  </si>
  <si>
    <t>DAF</t>
  </si>
  <si>
    <t>DAIHATSU</t>
  </si>
  <si>
    <t>DAIMLER</t>
  </si>
  <si>
    <t>DODGE</t>
  </si>
  <si>
    <t>GALLOPER</t>
  </si>
  <si>
    <t>GMC</t>
  </si>
  <si>
    <t>HUMMER</t>
  </si>
  <si>
    <t>INNOCENTI</t>
  </si>
  <si>
    <t>IVECO</t>
  </si>
  <si>
    <t>IVECO-PEGASO</t>
  </si>
  <si>
    <t>LAND-ROVER</t>
  </si>
  <si>
    <t>LDV</t>
  </si>
  <si>
    <t>LOTUS</t>
  </si>
  <si>
    <t>MAYBACH</t>
  </si>
  <si>
    <t>MERCEDES-BENZ</t>
  </si>
  <si>
    <t>MG</t>
  </si>
  <si>
    <t>PONTIAC</t>
  </si>
  <si>
    <t>ROVER</t>
  </si>
  <si>
    <t>SAAB</t>
  </si>
  <si>
    <t>SANTANA</t>
  </si>
  <si>
    <t>TALBOT</t>
  </si>
  <si>
    <t>UMM</t>
  </si>
  <si>
    <t>VAZ</t>
  </si>
  <si>
    <t>WARTBURG</t>
  </si>
  <si>
    <t>100 NX</t>
  </si>
  <si>
    <t>100D</t>
  </si>
  <si>
    <t>110 STAWRA</t>
  </si>
  <si>
    <t>111 STAWRA</t>
  </si>
  <si>
    <t>112 STAWRA</t>
  </si>
  <si>
    <t>140D</t>
  </si>
  <si>
    <t>180D</t>
  </si>
  <si>
    <t>200 SX</t>
  </si>
  <si>
    <t>206 SW</t>
  </si>
  <si>
    <t>2CV</t>
  </si>
  <si>
    <t>300 GT</t>
  </si>
  <si>
    <t>300 ZX</t>
  </si>
  <si>
    <t>3000 GT</t>
  </si>
  <si>
    <t>300C</t>
  </si>
  <si>
    <t>300M</t>
  </si>
  <si>
    <t>307 SW</t>
  </si>
  <si>
    <t>3200 GT</t>
  </si>
  <si>
    <t>350Z</t>
  </si>
  <si>
    <t>407 SW</t>
  </si>
  <si>
    <t>456M</t>
  </si>
  <si>
    <t>4RUNNER</t>
  </si>
  <si>
    <t>550 MARANELLO</t>
  </si>
  <si>
    <t>575M MARANELLO</t>
  </si>
  <si>
    <t>93X</t>
  </si>
  <si>
    <t>94X</t>
  </si>
  <si>
    <t>A112</t>
  </si>
  <si>
    <t>A2</t>
  </si>
  <si>
    <t>ACTYON</t>
  </si>
  <si>
    <t>AERO 8</t>
  </si>
  <si>
    <t>AGILA</t>
  </si>
  <si>
    <t>ALERO</t>
  </si>
  <si>
    <t>ALLROAD QUATTRO</t>
  </si>
  <si>
    <t>ALMERA</t>
  </si>
  <si>
    <t>ALMERA TINO</t>
  </si>
  <si>
    <t>ALPINE</t>
  </si>
  <si>
    <t>ALTEA FREETRACK</t>
  </si>
  <si>
    <t>ALTO</t>
  </si>
  <si>
    <t>ANIBAL</t>
  </si>
  <si>
    <t>ANIBAL PICK UP</t>
  </si>
  <si>
    <t>APPLAUSE</t>
  </si>
  <si>
    <t>ARANOS</t>
  </si>
  <si>
    <t>ARGENTA</t>
  </si>
  <si>
    <t>ARNAGE</t>
  </si>
  <si>
    <t>AROSA</t>
  </si>
  <si>
    <t>ASCONA</t>
  </si>
  <si>
    <t>ASTRO</t>
  </si>
  <si>
    <t>ATOS</t>
  </si>
  <si>
    <t>ATOS PRIME</t>
  </si>
  <si>
    <t>AVANTIME</t>
  </si>
  <si>
    <t>AVENGER</t>
  </si>
  <si>
    <t>AVENSIS VERSO</t>
  </si>
  <si>
    <t>AX</t>
  </si>
  <si>
    <t>AZURE</t>
  </si>
  <si>
    <t>B2500</t>
  </si>
  <si>
    <t>B9 TRIBECA</t>
  </si>
  <si>
    <t>BALENO</t>
  </si>
  <si>
    <t>BARCHETTA</t>
  </si>
  <si>
    <t>BERLINGO FIRST</t>
  </si>
  <si>
    <t>BITURBO</t>
  </si>
  <si>
    <t>BLAZER</t>
  </si>
  <si>
    <t>BLS</t>
  </si>
  <si>
    <t>BLUEBIRD</t>
  </si>
  <si>
    <t>BMAX</t>
  </si>
  <si>
    <t>BOLERO PICKUP</t>
  </si>
  <si>
    <t>BORA</t>
  </si>
  <si>
    <t>BOXER</t>
  </si>
  <si>
    <t>BRAVA</t>
  </si>
  <si>
    <t>BRERA</t>
  </si>
  <si>
    <t>BROOKLANDS</t>
  </si>
  <si>
    <t>BT50</t>
  </si>
  <si>
    <t>BX</t>
  </si>
  <si>
    <t>C15</t>
  </si>
  <si>
    <t>C2</t>
  </si>
  <si>
    <t>C25</t>
  </si>
  <si>
    <t>C3 PLURIEL</t>
  </si>
  <si>
    <t>C30</t>
  </si>
  <si>
    <t>C4 SEDAN</t>
  </si>
  <si>
    <t>C6</t>
  </si>
  <si>
    <t>C70</t>
  </si>
  <si>
    <t>C8</t>
  </si>
  <si>
    <t>CABRIOLET</t>
  </si>
  <si>
    <t>CABSTAR</t>
  </si>
  <si>
    <t>CABSTAR E</t>
  </si>
  <si>
    <t>CALIBER</t>
  </si>
  <si>
    <t>CALIBRA</t>
  </si>
  <si>
    <t>CAMION</t>
  </si>
  <si>
    <t>CAMRY</t>
  </si>
  <si>
    <t>CANTER</t>
  </si>
  <si>
    <t>CAPRI</t>
  </si>
  <si>
    <t>CAPTIVA</t>
  </si>
  <si>
    <t>CARINA E</t>
  </si>
  <si>
    <t>CARISMA</t>
  </si>
  <si>
    <t>CARNIVAL</t>
  </si>
  <si>
    <t>CARRERA GT</t>
  </si>
  <si>
    <t>CCROSSER</t>
  </si>
  <si>
    <t>CEED</t>
  </si>
  <si>
    <t>CEED SPORTSWAGON</t>
  </si>
  <si>
    <t>CEED SPORTY WAGON</t>
  </si>
  <si>
    <t>CELICA</t>
  </si>
  <si>
    <t>CELYSEE</t>
  </si>
  <si>
    <t>CERATO</t>
  </si>
  <si>
    <t>CHARADE</t>
  </si>
  <si>
    <t>CINQUECENTO</t>
  </si>
  <si>
    <t>CITYCOUPE</t>
  </si>
  <si>
    <t>CJ</t>
  </si>
  <si>
    <t>CLARUS</t>
  </si>
  <si>
    <t>CLASE CLC</t>
  </si>
  <si>
    <t>CLASE CLK</t>
  </si>
  <si>
    <t>CLASE R</t>
  </si>
  <si>
    <t>CLASE SL R129</t>
  </si>
  <si>
    <t>CLASSIC</t>
  </si>
  <si>
    <t>CLIO CAMPUS</t>
  </si>
  <si>
    <t>CMAX</t>
  </si>
  <si>
    <t>COLT</t>
  </si>
  <si>
    <t>COMMANDER</t>
  </si>
  <si>
    <t>COMPACT</t>
  </si>
  <si>
    <t>COMPASS</t>
  </si>
  <si>
    <t>CONCERTO</t>
  </si>
  <si>
    <t>CONTAC</t>
  </si>
  <si>
    <t>CONTINENTAL</t>
  </si>
  <si>
    <t>CONTINENTAL FLYING SPUR</t>
  </si>
  <si>
    <t>CONTINENTAL SUPERSPORTS</t>
  </si>
  <si>
    <t>CORDOBA</t>
  </si>
  <si>
    <t>CORNICHE</t>
  </si>
  <si>
    <t>COROLLA</t>
  </si>
  <si>
    <t>COROLLA SEDAN</t>
  </si>
  <si>
    <t>COROLLA VERSO</t>
  </si>
  <si>
    <t>CORRADO</t>
  </si>
  <si>
    <t>COUGAR</t>
  </si>
  <si>
    <t>COUPE</t>
  </si>
  <si>
    <t>COURIER</t>
  </si>
  <si>
    <t>CRAFTER</t>
  </si>
  <si>
    <t>CROMA</t>
  </si>
  <si>
    <t>CROSSBLADE</t>
  </si>
  <si>
    <t>CROSSFIRE</t>
  </si>
  <si>
    <t>CROSSWAGON</t>
  </si>
  <si>
    <t>CRV</t>
  </si>
  <si>
    <t>CRX</t>
  </si>
  <si>
    <t>CRZ</t>
  </si>
  <si>
    <t>CTS</t>
  </si>
  <si>
    <t>CUBE</t>
  </si>
  <si>
    <t>CX</t>
  </si>
  <si>
    <t>CX5</t>
  </si>
  <si>
    <t>CX7</t>
  </si>
  <si>
    <t>CYGNET</t>
  </si>
  <si>
    <t>CZERO</t>
  </si>
  <si>
    <t>D MAX</t>
  </si>
  <si>
    <t>DAILY</t>
  </si>
  <si>
    <t>DB7</t>
  </si>
  <si>
    <t>DBS</t>
  </si>
  <si>
    <t>DEDRA</t>
  </si>
  <si>
    <t>DEMIO</t>
  </si>
  <si>
    <t>DIESEL</t>
  </si>
  <si>
    <t>DISCOVERY</t>
  </si>
  <si>
    <t>DMAX</t>
  </si>
  <si>
    <t>DOBLO</t>
  </si>
  <si>
    <t>DOBLO CARGO</t>
  </si>
  <si>
    <t>DOUBLE SIX</t>
  </si>
  <si>
    <t>DS3</t>
  </si>
  <si>
    <t>DS4</t>
  </si>
  <si>
    <t>DS5</t>
  </si>
  <si>
    <t>DUCATO</t>
  </si>
  <si>
    <t>DUTY</t>
  </si>
  <si>
    <t>DYNA</t>
  </si>
  <si>
    <t>ECLIPSE</t>
  </si>
  <si>
    <t>EIGHT</t>
  </si>
  <si>
    <t>EL DORADO</t>
  </si>
  <si>
    <t>ELBA</t>
  </si>
  <si>
    <t>ELISE</t>
  </si>
  <si>
    <t>ENZO</t>
  </si>
  <si>
    <t>EPICA</t>
  </si>
  <si>
    <t>ESCALADE</t>
  </si>
  <si>
    <t>ESCORT</t>
  </si>
  <si>
    <t>EVANDA</t>
  </si>
  <si>
    <t>EVASION</t>
  </si>
  <si>
    <t>EX</t>
  </si>
  <si>
    <t>EXCEED</t>
  </si>
  <si>
    <t>EXEO</t>
  </si>
  <si>
    <t>EXIGE</t>
  </si>
  <si>
    <t>EXPANDER</t>
  </si>
  <si>
    <t>EXPLORER</t>
  </si>
  <si>
    <t>EXPRESS</t>
  </si>
  <si>
    <t>F355</t>
  </si>
  <si>
    <t>F40</t>
  </si>
  <si>
    <t>F430</t>
  </si>
  <si>
    <t>F50</t>
  </si>
  <si>
    <t>F512 M</t>
  </si>
  <si>
    <t>FAMILY</t>
  </si>
  <si>
    <t>FAVORIT</t>
  </si>
  <si>
    <t>FELICIA</t>
  </si>
  <si>
    <t>FEROZA</t>
  </si>
  <si>
    <t>FIREBIRD</t>
  </si>
  <si>
    <t>FOCUS CMAX</t>
  </si>
  <si>
    <t>FORMAN</t>
  </si>
  <si>
    <t>FOX</t>
  </si>
  <si>
    <t>FREECLIMBER DIESEL</t>
  </si>
  <si>
    <t>FRONTERA</t>
  </si>
  <si>
    <t>FRV</t>
  </si>
  <si>
    <t>FUEGO</t>
  </si>
  <si>
    <t>FUSION</t>
  </si>
  <si>
    <t>FX</t>
  </si>
  <si>
    <t>G</t>
  </si>
  <si>
    <t>G3X JUSTY</t>
  </si>
  <si>
    <t>GALANT</t>
  </si>
  <si>
    <t>GALLARDO</t>
  </si>
  <si>
    <t>GETZ</t>
  </si>
  <si>
    <t>GOA</t>
  </si>
  <si>
    <t>GOA PICKUP</t>
  </si>
  <si>
    <t>GOLF PLUS</t>
  </si>
  <si>
    <t>GRAND CMAX</t>
  </si>
  <si>
    <t>GRAND ESPACE</t>
  </si>
  <si>
    <t>GRAND MODUS</t>
  </si>
  <si>
    <t>GRAND SAFARI</t>
  </si>
  <si>
    <t>GRAND SCENIC</t>
  </si>
  <si>
    <t>GRAND VITARA XL7</t>
  </si>
  <si>
    <t>GRAND VOYAGER</t>
  </si>
  <si>
    <t>GRANDE PUNTO</t>
  </si>
  <si>
    <t>GRANDEUR</t>
  </si>
  <si>
    <t>GRANDIS</t>
  </si>
  <si>
    <t>GRANSPORT</t>
  </si>
  <si>
    <t>GS300</t>
  </si>
  <si>
    <t>GS430</t>
  </si>
  <si>
    <t>GS450H</t>
  </si>
  <si>
    <t>GS460</t>
  </si>
  <si>
    <t>GSA</t>
  </si>
  <si>
    <t>GT</t>
  </si>
  <si>
    <t>GTR</t>
  </si>
  <si>
    <t>GTV</t>
  </si>
  <si>
    <t>H1</t>
  </si>
  <si>
    <t>H2</t>
  </si>
  <si>
    <t>H3</t>
  </si>
  <si>
    <t>H3T</t>
  </si>
  <si>
    <t>HHR</t>
  </si>
  <si>
    <t>HORIZON</t>
  </si>
  <si>
    <t>HRV</t>
  </si>
  <si>
    <t>I800</t>
  </si>
  <si>
    <t>IDEA</t>
  </si>
  <si>
    <t>IGNIS</t>
  </si>
  <si>
    <t>IMIEV</t>
  </si>
  <si>
    <t>IMPREZA</t>
  </si>
  <si>
    <t>INCA</t>
  </si>
  <si>
    <t>INDICA</t>
  </si>
  <si>
    <t>INDIGO</t>
  </si>
  <si>
    <t>INSIGHT</t>
  </si>
  <si>
    <t>IQ</t>
  </si>
  <si>
    <t>IS200</t>
  </si>
  <si>
    <t>IS220D</t>
  </si>
  <si>
    <t>IS250</t>
  </si>
  <si>
    <t>IS300</t>
  </si>
  <si>
    <t>IX55</t>
  </si>
  <si>
    <t>J5</t>
  </si>
  <si>
    <t>JOICE</t>
  </si>
  <si>
    <t>JOURNEY</t>
  </si>
  <si>
    <t>JUMPER</t>
  </si>
  <si>
    <t>JUMPY</t>
  </si>
  <si>
    <t>JUSTY</t>
  </si>
  <si>
    <t>K</t>
  </si>
  <si>
    <t>K2500</t>
  </si>
  <si>
    <t>K2500 FRONTIER</t>
  </si>
  <si>
    <t>K4D</t>
  </si>
  <si>
    <t>KADETT</t>
  </si>
  <si>
    <t>KALINA</t>
  </si>
  <si>
    <t>KALOS</t>
  </si>
  <si>
    <t>KANGOO</t>
  </si>
  <si>
    <t>KAPPA</t>
  </si>
  <si>
    <t>KODANDO</t>
  </si>
  <si>
    <t>KORANDO KJ</t>
  </si>
  <si>
    <t>KYRON</t>
  </si>
  <si>
    <t>LACETTI</t>
  </si>
  <si>
    <t>LANCER</t>
  </si>
  <si>
    <t>LAND CRUISER 100</t>
  </si>
  <si>
    <t>LAND CRUISER 80</t>
  </si>
  <si>
    <t>LAND CRUISER 90</t>
  </si>
  <si>
    <t>LANOS</t>
  </si>
  <si>
    <t>LANTRA</t>
  </si>
  <si>
    <t>LE BARON</t>
  </si>
  <si>
    <t>LEGACY</t>
  </si>
  <si>
    <t>LEGANZA</t>
  </si>
  <si>
    <t>LEGEND</t>
  </si>
  <si>
    <t>LEON</t>
  </si>
  <si>
    <t>LIANA</t>
  </si>
  <si>
    <t>LINEA</t>
  </si>
  <si>
    <t>LNA</t>
  </si>
  <si>
    <t>LOGO</t>
  </si>
  <si>
    <t>LS400</t>
  </si>
  <si>
    <t>LS430</t>
  </si>
  <si>
    <t>LS460</t>
  </si>
  <si>
    <t>LS600H</t>
  </si>
  <si>
    <t>LT</t>
  </si>
  <si>
    <t>LUPO</t>
  </si>
  <si>
    <t>LYBRA</t>
  </si>
  <si>
    <t>M</t>
  </si>
  <si>
    <t>MAESTRO</t>
  </si>
  <si>
    <t>MAGENTIS</t>
  </si>
  <si>
    <t>MALAGA</t>
  </si>
  <si>
    <t>MALIBU</t>
  </si>
  <si>
    <t>MANTA</t>
  </si>
  <si>
    <t>MARBELLA</t>
  </si>
  <si>
    <t>MAREA</t>
  </si>
  <si>
    <t>MARUTI</t>
  </si>
  <si>
    <t>MASCOTT</t>
  </si>
  <si>
    <t>MASSIF</t>
  </si>
  <si>
    <t>MASTER</t>
  </si>
  <si>
    <t>MASTER PROPULSION</t>
  </si>
  <si>
    <t>MATIZ</t>
  </si>
  <si>
    <t>MATRIX</t>
  </si>
  <si>
    <t>MAVERICK</t>
  </si>
  <si>
    <t>MAXIMA</t>
  </si>
  <si>
    <t>MAXIMA QX</t>
  </si>
  <si>
    <t>MAXITY</t>
  </si>
  <si>
    <t>MAXUS</t>
  </si>
  <si>
    <t>MEGANE</t>
  </si>
  <si>
    <t>METRO</t>
  </si>
  <si>
    <t>MGF</t>
  </si>
  <si>
    <t>MINI MOKE</t>
  </si>
  <si>
    <t>MINITRE</t>
  </si>
  <si>
    <t>MODUS</t>
  </si>
  <si>
    <t>MONDIAL</t>
  </si>
  <si>
    <t>MONTEGO</t>
  </si>
  <si>
    <t>MONTEREY</t>
  </si>
  <si>
    <t>MONTERO IO</t>
  </si>
  <si>
    <t>MONTERO SPORT</t>
  </si>
  <si>
    <t>MONZA</t>
  </si>
  <si>
    <t>MOVANO</t>
  </si>
  <si>
    <t>MPV</t>
  </si>
  <si>
    <t>MR2</t>
  </si>
  <si>
    <t>MULTIPLA</t>
  </si>
  <si>
    <t>MURCIELAGO</t>
  </si>
  <si>
    <t>MUSA</t>
  </si>
  <si>
    <t>MUSSO</t>
  </si>
  <si>
    <t>MX3</t>
  </si>
  <si>
    <t>MX5</t>
  </si>
  <si>
    <t>MX6</t>
  </si>
  <si>
    <t>NEON</t>
  </si>
  <si>
    <t>NEVADA</t>
  </si>
  <si>
    <t>NEW BEETLE</t>
  </si>
  <si>
    <t>NEW YORKER</t>
  </si>
  <si>
    <t>NEXIA</t>
  </si>
  <si>
    <t>NITRO</t>
  </si>
  <si>
    <t>NIVA</t>
  </si>
  <si>
    <t>NP300 PICK UP</t>
  </si>
  <si>
    <t>NSX</t>
  </si>
  <si>
    <t>NUBIRA</t>
  </si>
  <si>
    <t>NUBIRA COMPACT</t>
  </si>
  <si>
    <t>OCTAVIA TOUR</t>
  </si>
  <si>
    <t>OMEGA</t>
  </si>
  <si>
    <t>OPIRUS</t>
  </si>
  <si>
    <t>ORION</t>
  </si>
  <si>
    <t>PALIO WEEKEND</t>
  </si>
  <si>
    <t>PANDA CLASSIC</t>
  </si>
  <si>
    <t>PARK WARD</t>
  </si>
  <si>
    <t>PARTNER ORIGIN</t>
  </si>
  <si>
    <t>PASEO</t>
  </si>
  <si>
    <t>PASSAT CC</t>
  </si>
  <si>
    <t>PATRIOT</t>
  </si>
  <si>
    <t>PATROL</t>
  </si>
  <si>
    <t>PATROL GR</t>
  </si>
  <si>
    <t>PHEDRA</t>
  </si>
  <si>
    <t>PICK UP</t>
  </si>
  <si>
    <t>PICKUP</t>
  </si>
  <si>
    <t>PICNIC</t>
  </si>
  <si>
    <t>PIKUP</t>
  </si>
  <si>
    <t>PIXO</t>
  </si>
  <si>
    <t>PONY</t>
  </si>
  <si>
    <t>PRAIRIE</t>
  </si>
  <si>
    <t>PRELUDE</t>
  </si>
  <si>
    <t>PREMACY</t>
  </si>
  <si>
    <t>PREVIA</t>
  </si>
  <si>
    <t>PRIDE</t>
  </si>
  <si>
    <t>PRIMERA</t>
  </si>
  <si>
    <t>PRISMA</t>
  </si>
  <si>
    <t>PROBE</t>
  </si>
  <si>
    <t>PROCEED</t>
  </si>
  <si>
    <t>PT CRUISER</t>
  </si>
  <si>
    <t>PUMA</t>
  </si>
  <si>
    <t>PUNTO CLASSIC</t>
  </si>
  <si>
    <t>PUNTO EVO</t>
  </si>
  <si>
    <t>QASHQAI2</t>
  </si>
  <si>
    <t>R11</t>
  </si>
  <si>
    <t>R18</t>
  </si>
  <si>
    <t>R19</t>
  </si>
  <si>
    <t>R21</t>
  </si>
  <si>
    <t>R25</t>
  </si>
  <si>
    <t>R4</t>
  </si>
  <si>
    <t>R5</t>
  </si>
  <si>
    <t>R6</t>
  </si>
  <si>
    <t>R9</t>
  </si>
  <si>
    <t>RANGER</t>
  </si>
  <si>
    <t>REGATA</t>
  </si>
  <si>
    <t>REKORD</t>
  </si>
  <si>
    <t>REXTON II</t>
  </si>
  <si>
    <t>RITMO</t>
  </si>
  <si>
    <t>ROCKY</t>
  </si>
  <si>
    <t>ROCSTA</t>
  </si>
  <si>
    <t>RODEO</t>
  </si>
  <si>
    <t>RONDA</t>
  </si>
  <si>
    <t>RS2</t>
  </si>
  <si>
    <t>RX300</t>
  </si>
  <si>
    <t>RX350</t>
  </si>
  <si>
    <t>RX400H</t>
  </si>
  <si>
    <t>RX7</t>
  </si>
  <si>
    <t>RX8</t>
  </si>
  <si>
    <t>S</t>
  </si>
  <si>
    <t>S2</t>
  </si>
  <si>
    <t>S2000</t>
  </si>
  <si>
    <t>S40</t>
  </si>
  <si>
    <t>S70</t>
  </si>
  <si>
    <t>S90</t>
  </si>
  <si>
    <t>SAFARI</t>
  </si>
  <si>
    <t>SAFRANE</t>
  </si>
  <si>
    <t>SAGONA</t>
  </si>
  <si>
    <t>SAMARA</t>
  </si>
  <si>
    <t>SAMBA</t>
  </si>
  <si>
    <t>SAMURAI</t>
  </si>
  <si>
    <t>SANTAMO</t>
  </si>
  <si>
    <t>SARATOGA</t>
  </si>
  <si>
    <t>SAXO</t>
  </si>
  <si>
    <t>SC</t>
  </si>
  <si>
    <t>SC430</t>
  </si>
  <si>
    <t>SCENIC</t>
  </si>
  <si>
    <t>SCORPIO</t>
  </si>
  <si>
    <t>SCOUPE</t>
  </si>
  <si>
    <t>SD</t>
  </si>
  <si>
    <t>SEBRING</t>
  </si>
  <si>
    <t>SEBRING 200C</t>
  </si>
  <si>
    <t>SEDICI</t>
  </si>
  <si>
    <t>SEICENTO</t>
  </si>
  <si>
    <t>SENATOR</t>
  </si>
  <si>
    <t>SEPHIA</t>
  </si>
  <si>
    <t>SEPHIA II</t>
  </si>
  <si>
    <t>SERENA</t>
  </si>
  <si>
    <t>SERIE 2100</t>
  </si>
  <si>
    <t>SERIE 8</t>
  </si>
  <si>
    <t>SERIE B</t>
  </si>
  <si>
    <t>SERIE XJ</t>
  </si>
  <si>
    <t>SERIES III</t>
  </si>
  <si>
    <t>SEVILLE</t>
  </si>
  <si>
    <t>SHAMAL</t>
  </si>
  <si>
    <t>SHUMA</t>
  </si>
  <si>
    <t>SIERRA</t>
  </si>
  <si>
    <t>SIGNUM</t>
  </si>
  <si>
    <t>SILVER SERAPH</t>
  </si>
  <si>
    <t>SILVER SPUR</t>
  </si>
  <si>
    <t>SILVIER</t>
  </si>
  <si>
    <t>SINTRA</t>
  </si>
  <si>
    <t>SIRION</t>
  </si>
  <si>
    <t>SIVER DAWN</t>
  </si>
  <si>
    <t>SIX</t>
  </si>
  <si>
    <t>SLKLASSE</t>
  </si>
  <si>
    <t>SLR MCLAREN</t>
  </si>
  <si>
    <t>SMAX</t>
  </si>
  <si>
    <t>SOLARA</t>
  </si>
  <si>
    <t>SONATA</t>
  </si>
  <si>
    <t>SONATA FL</t>
  </si>
  <si>
    <t>SPACE GEAR</t>
  </si>
  <si>
    <t>SPACE RUNNER</t>
  </si>
  <si>
    <t>SPACE WAGON</t>
  </si>
  <si>
    <t>SPEEDSTER</t>
  </si>
  <si>
    <t>SPIDER</t>
  </si>
  <si>
    <t>SPLASH</t>
  </si>
  <si>
    <t>SPORTS PICK UP</t>
  </si>
  <si>
    <t>SPRINT</t>
  </si>
  <si>
    <t>SPRINTER</t>
  </si>
  <si>
    <t>SPYDER</t>
  </si>
  <si>
    <t>SRX</t>
  </si>
  <si>
    <t>STAWRA 2110</t>
  </si>
  <si>
    <t>STILO</t>
  </si>
  <si>
    <t>STRADA</t>
  </si>
  <si>
    <t>STRATUS</t>
  </si>
  <si>
    <t>STREAM</t>
  </si>
  <si>
    <t>STREETKA</t>
  </si>
  <si>
    <t>STREETWISE</t>
  </si>
  <si>
    <t>STS</t>
  </si>
  <si>
    <t>STYPE</t>
  </si>
  <si>
    <t>SUMO</t>
  </si>
  <si>
    <t>SUNNY</t>
  </si>
  <si>
    <t>SUPER EXCEED</t>
  </si>
  <si>
    <t>SUPERAMERICA</t>
  </si>
  <si>
    <t>SUPRA</t>
  </si>
  <si>
    <t>SVX</t>
  </si>
  <si>
    <t>TACUMA</t>
  </si>
  <si>
    <t>TAGORA</t>
  </si>
  <si>
    <t>TAHOE</t>
  </si>
  <si>
    <t>TALENTO</t>
  </si>
  <si>
    <t>TARO</t>
  </si>
  <si>
    <t>TELCO</t>
  </si>
  <si>
    <t>TELCOSPORT</t>
  </si>
  <si>
    <t>TEMPRA</t>
  </si>
  <si>
    <t>TERIOS</t>
  </si>
  <si>
    <t>TERRA</t>
  </si>
  <si>
    <t>TERRACAN</t>
  </si>
  <si>
    <t>TERRANO</t>
  </si>
  <si>
    <t>TERRANO II</t>
  </si>
  <si>
    <t>TESTAROSSA</t>
  </si>
  <si>
    <t>TF</t>
  </si>
  <si>
    <t>THAR</t>
  </si>
  <si>
    <t>THESIS</t>
  </si>
  <si>
    <t>TIGRA</t>
  </si>
  <si>
    <t>TIIDA</t>
  </si>
  <si>
    <t>TL PICK UP</t>
  </si>
  <si>
    <t>TOURING</t>
  </si>
  <si>
    <t>TRADE</t>
  </si>
  <si>
    <t>TRAFIC</t>
  </si>
  <si>
    <t>TRAILBLAZER</t>
  </si>
  <si>
    <t>TRAJET</t>
  </si>
  <si>
    <t>TRANS AM</t>
  </si>
  <si>
    <t>TRANS SPORT</t>
  </si>
  <si>
    <t>TRANSIT</t>
  </si>
  <si>
    <t>TREVI</t>
  </si>
  <si>
    <t>TREZIA</t>
  </si>
  <si>
    <t>TRIBECA</t>
  </si>
  <si>
    <t>TRIBUTE</t>
  </si>
  <si>
    <t>TROOPER</t>
  </si>
  <si>
    <t>TRROPER</t>
  </si>
  <si>
    <t>TT RS</t>
  </si>
  <si>
    <t>TUCSON</t>
  </si>
  <si>
    <t>TURBO</t>
  </si>
  <si>
    <t>TURBO R</t>
  </si>
  <si>
    <t>ULYSSE</t>
  </si>
  <si>
    <t>UNO</t>
  </si>
  <si>
    <t>UP</t>
  </si>
  <si>
    <t>URBAN CRUISER</t>
  </si>
  <si>
    <t>V50</t>
  </si>
  <si>
    <t>V6</t>
  </si>
  <si>
    <t>V70 CLASSIC</t>
  </si>
  <si>
    <t>V70 XC</t>
  </si>
  <si>
    <t>V8</t>
  </si>
  <si>
    <t>V8 VANTAGE</t>
  </si>
  <si>
    <t>V90</t>
  </si>
  <si>
    <t>VANEO</t>
  </si>
  <si>
    <t>VANETTE</t>
  </si>
  <si>
    <t>VANETTE CARGO</t>
  </si>
  <si>
    <t>VANTAGE</t>
  </si>
  <si>
    <t>VECTRA</t>
  </si>
  <si>
    <t>VEL SATIS</t>
  </si>
  <si>
    <t>VENTO</t>
  </si>
  <si>
    <t>VIANO</t>
  </si>
  <si>
    <t>VIPER</t>
  </si>
  <si>
    <t>VIRAGE</t>
  </si>
  <si>
    <t>VISA</t>
  </si>
  <si>
    <t>VISION</t>
  </si>
  <si>
    <t>VIVARO</t>
  </si>
  <si>
    <t>VOLANTE</t>
  </si>
  <si>
    <t>VOLT</t>
  </si>
  <si>
    <t>WAGON R</t>
  </si>
  <si>
    <t>WIND</t>
  </si>
  <si>
    <t>XANTIA</t>
  </si>
  <si>
    <t>XEDOS 6</t>
  </si>
  <si>
    <t>XEDOS 9</t>
  </si>
  <si>
    <t>XENON PICK UP</t>
  </si>
  <si>
    <t>XG</t>
  </si>
  <si>
    <t>XLR</t>
  </si>
  <si>
    <t>XM</t>
  </si>
  <si>
    <t>XSARA</t>
  </si>
  <si>
    <t>XSARA PICASSO</t>
  </si>
  <si>
    <t>XT</t>
  </si>
  <si>
    <t>XTRAIL</t>
  </si>
  <si>
    <t>XTYPE</t>
  </si>
  <si>
    <t>Y</t>
  </si>
  <si>
    <t>Y10</t>
  </si>
  <si>
    <t>YARIS VERSO</t>
  </si>
  <si>
    <t>YPSILON ELEFANTINO</t>
  </si>
  <si>
    <t>Z</t>
  </si>
  <si>
    <t>Z1</t>
  </si>
  <si>
    <t>Z3</t>
  </si>
  <si>
    <t>Z8</t>
  </si>
  <si>
    <t>ZETA</t>
  </si>
  <si>
    <t>ZR</t>
  </si>
  <si>
    <t>ZS</t>
  </si>
  <si>
    <t>ZT</t>
  </si>
  <si>
    <t>ZTT</t>
  </si>
  <si>
    <t>ZX</t>
  </si>
  <si>
    <t>CONSIENTO DE MANERA IRREVOCABLE Y EN CUALQUIER MOMENTO LA RECOPILACIÓN DE DATOS DE MI HISTORIAL DE CRÉDITO, ASÍ COMO LA CONSULTA DE INFORMACIÓN DE MI HISTORAL DE CRÉDITO A TRAVÉS DE CUALQUIERA DE LAS EMPRESAS AFILIADAS A PANAMA CAR RENTAL, S.A.</t>
  </si>
  <si>
    <t>PANAMA CAR RENTAL, S.A. ES SUJETO OBLIGADO NO FINANCIERO SEGÚN LEY 23 DEL 27 DE ABRIL DE 2015 "QUE ADOPTA MEDIDAS PARA PREVENIR EL BLANQUEO DE CAPITALES, EL FINANCIAMIENTO DEL TERRORISMO Y DEL FINANCIAMIENTO DE LA PROLIFERACIÓN DE ARMAS DE DESTRUCCIÓN MASIVA Y OTRAS DISPOSICIONES" Y EL DECRETO EJECUTIVO N° 363 DEL 13 DE AGOSTO DE 2015 QUE REGLAMENTA LA LEY 23 DEL 27 DE ABRIL DE 2015 Y EN ESPECIAL A LAS EMPRESAS DEDICADAS A LA COMPRA Y VENTA DE AUTOS USADOS.</t>
  </si>
  <si>
    <t>COPIA CEDULA DEL CLIENTE</t>
  </si>
  <si>
    <t>COPIA CONTRATO DE ARRENDAMIENTO DEL INMUEBLE  (A nombre del Cliente)</t>
  </si>
  <si>
    <t>COPIA PASAPORTE DEL CLIENTE (Sacar copia de página último ingreso a Panamá)</t>
  </si>
  <si>
    <t>COPIA DEL ÚLTIMO RECIBO DE UN (1) SERVICIO PÚBLICO (A nombre del Cliente)</t>
  </si>
  <si>
    <t>INGRESOS ANUALES POR ACTIVIDAD MAYOR DE USD 10 M</t>
  </si>
  <si>
    <t>INGRESOS ANUALES DE LA ACTIVIDAD PRINCIPAL MAYOR DE USD 10 M</t>
  </si>
  <si>
    <t>CÓDIGO DOLLAR:</t>
  </si>
  <si>
    <t>INGRESOS ANUALES POR ACTIVIDAD MAYOR DE USD 10M</t>
  </si>
  <si>
    <t>C:\Users\carlos.perez\Google Drive\Automarket\Revisiones\Expedientes de Venta\Leyes y Formatos\Formatos\</t>
  </si>
  <si>
    <t>DATOS DEL CLIENTE</t>
  </si>
  <si>
    <t>FECHA DE NACIMIENTO</t>
  </si>
  <si>
    <t>GENERALES</t>
  </si>
  <si>
    <t>SI ES COMPRADO/TRADE IN</t>
  </si>
  <si>
    <t>SI ES TOMADO EN CONSIGNACION</t>
  </si>
  <si>
    <t>GATO, PIPA, PALANCA</t>
  </si>
  <si>
    <t>FORMULARIO PERSONA NATURAL</t>
  </si>
  <si>
    <t>DOCUMENTOS PROPIETARIOS DEL AUTO</t>
  </si>
  <si>
    <t>FILE DE VENTAS</t>
  </si>
  <si>
    <t>SOCIEDAD:</t>
  </si>
  <si>
    <t>CONTRATO DE GARANTÍA</t>
  </si>
  <si>
    <t>REQUISITOS EXPEDIENTE DE VENTA</t>
  </si>
  <si>
    <t>REQUISITOS EXPENDIENTE DE VENTA</t>
  </si>
  <si>
    <t>FILE TRASPASO DE VEHÍCULO</t>
  </si>
  <si>
    <t>N° CLIENTE:</t>
  </si>
  <si>
    <t>FIRMA:</t>
  </si>
  <si>
    <t>DECLARACIÓN DE EFECTIVO Y CUASI-EFECTIVO</t>
  </si>
  <si>
    <t>FORMULARIO ÚNICO PARA PERSONA NATURAL</t>
  </si>
  <si>
    <t>N°</t>
  </si>
  <si>
    <t>FECHA</t>
  </si>
  <si>
    <t>TIPO DE TRANSACCIÓN</t>
  </si>
  <si>
    <t>TIPO DE PRODUCTO O SERVICIO</t>
  </si>
  <si>
    <t>NOMBRE DEL PRODUCTO O SERVICIO</t>
  </si>
  <si>
    <t>MONTO DE LA TRANSACCIÓN (B/.)</t>
  </si>
  <si>
    <t>MONTO TOTAL</t>
  </si>
  <si>
    <t>EMPLEADO QUE REALIZÓ LA TRANSACCIÓN</t>
  </si>
  <si>
    <t>TIPO DE ID</t>
  </si>
  <si>
    <t>N° IDENTIFICACIÓN</t>
  </si>
  <si>
    <t>CARGO</t>
  </si>
  <si>
    <t>TIPO DEL CUASI-EFECTIVO</t>
  </si>
  <si>
    <t>N° CUASI-EFECTIVO</t>
  </si>
  <si>
    <t>EMISOR DEL 
CUASI-EFECTIVO</t>
  </si>
  <si>
    <t>BENEFICIARIO FINAL</t>
  </si>
  <si>
    <t>CANALES DE DISTRIBUCIÓN</t>
  </si>
  <si>
    <t>TIPO DE CANAL</t>
  </si>
  <si>
    <t>NOMBREL DEL CANAL</t>
  </si>
  <si>
    <t>DIRECCIÓN DEL CANAL</t>
  </si>
  <si>
    <t>PERSONA QUE REALIZA LA TRANSACCIÓN EN NOMBRE DEL CLIENTE</t>
  </si>
  <si>
    <t>TIPO ID</t>
  </si>
  <si>
    <t>DIRECCIÓN</t>
  </si>
  <si>
    <t>COLOR</t>
  </si>
  <si>
    <t>N° CHASIS</t>
  </si>
  <si>
    <t>N° MOTOR</t>
  </si>
  <si>
    <t>DECLARO QUE LA INFORMACIÓN SUMINISTRADA POR EL SUSCRITO ES CIERTA Y NO HE OCULTADO NADA, QUE LOS DATOS AQUÍ SUMINISTRADOS SERAN CONSIDERADOS CONFIDENCIALES, PERO ESTÁN SUJETOS A VERIFICACIÓN, POR LO QUE AUTORIZO A USTEDES A OBTENER Y CONFIRMAR CUALQUIER INFORMACIÓN QUE CONSIDEREN NECESARIO, PARA DAR CUMPLIMIENTO A LO QUE ESTABLECE LA  LEY 23 DEL 27 DE ABRIL DE 2015 "QUE ADOPTA MEDIDAS PARA PREVENIR EL BLANQUEO DE CAPITALES, EL FINANCIAMIENTO DEL TERRORISMO Y DEL FINANCIAMIENTO DE LA PROLIFERACIÓN DE ARMAS DE DESTRUCCIÓN MASIVA Y OTRAS DISPOSICIONES" Y EL DECRETO EJECUTIVO N° 363 DEL 13 DE AGOSTO DE 2015 QUE REGLAMENTA LA LEY 23 DEL 27 DE ABRIL DE 2015 Y EN ESPECIAL A LAS EMPRESAS DEDICADAS A LA COMPRA Y VENTA DE AUTOS USADOS.</t>
  </si>
  <si>
    <t>TIPO DE TRANSACCIÓN:</t>
  </si>
  <si>
    <t>TIPO DE PRODUCTO O SERVICIO:</t>
  </si>
  <si>
    <t>NOMBRE DEL PRODUCTO O SERVICIO:</t>
  </si>
  <si>
    <t>DATOS DE LA TRANSACCIÓN DE EFECTIVO</t>
  </si>
  <si>
    <t>DATOS DE LA TRANSACCIÓN DE CUASI-EFECTIVO</t>
  </si>
  <si>
    <t>MONTO DE LA TRANSACCIÓN (B/.):</t>
  </si>
  <si>
    <t>GERENTE DE VENTAS:</t>
  </si>
  <si>
    <t>N° PLACA</t>
  </si>
  <si>
    <t>TIPO DEL CUASI-EFECTIVO:</t>
  </si>
  <si>
    <t>N° DEL CUASI-EFECTIVO:</t>
  </si>
  <si>
    <t>EMISOR  DEL CUASI-EFECTIVO:</t>
  </si>
  <si>
    <t>CARGO:</t>
  </si>
  <si>
    <t>TIPO DE IDENTIFICACIÓN:</t>
  </si>
  <si>
    <t>NÚMERO DE IDENTIFICACIÓN:</t>
  </si>
  <si>
    <t>TIPO DE CANAL:</t>
  </si>
  <si>
    <t>NOMBRE DEL CANAL:</t>
  </si>
  <si>
    <t>PROVINCIA:</t>
  </si>
  <si>
    <t>DISTRITO:</t>
  </si>
  <si>
    <t>CORREGIMIENTO:</t>
  </si>
  <si>
    <t>EDIFICIO: / BARRIADA:</t>
  </si>
  <si>
    <t>N° OFICINA:</t>
  </si>
  <si>
    <t>FORMULARIO DECLARACIÓN DE EFECTIVO Y CUASI EFECTIVO</t>
  </si>
  <si>
    <t>EFECTIVO</t>
  </si>
  <si>
    <t>CHEQUE DE GERENCIA AL PORTADOR</t>
  </si>
  <si>
    <t>ORDEN DE PAGO AL PORTADOR</t>
  </si>
  <si>
    <t>CHEQUE DE VIAJERO AL PORTADOR</t>
  </si>
  <si>
    <t>TIPO DE PRODUCTO</t>
  </si>
  <si>
    <t>AUTO USADO</t>
  </si>
  <si>
    <t>NOMBRE DEL PRODUCTO</t>
  </si>
  <si>
    <t>VEHÍCULO</t>
  </si>
  <si>
    <t>N° APTO / N° CASA / N° OFICINA:</t>
  </si>
  <si>
    <t>AVENIDA / CALLE:</t>
  </si>
  <si>
    <t>PROVINCIA / ESTADO:</t>
  </si>
  <si>
    <t>PERFIL FIINANCIERO</t>
  </si>
  <si>
    <t>NOMBRES Y APELLIDOS:</t>
  </si>
  <si>
    <t>RELACIÓN:</t>
  </si>
  <si>
    <t>TELÉFONO DE CONTACTO:</t>
  </si>
  <si>
    <t>ENTIDAD BANCARIA:</t>
  </si>
  <si>
    <t>TIPO CUENTA:</t>
  </si>
  <si>
    <t>RUC</t>
  </si>
  <si>
    <t>1466461-1-641048 DV 30</t>
  </si>
  <si>
    <t>419758-1-427175 DV 97</t>
  </si>
  <si>
    <t>CÉDULA</t>
  </si>
  <si>
    <t>PASAPORTE</t>
  </si>
  <si>
    <t>NÚMERO DE ID</t>
  </si>
  <si>
    <t>8-129-934</t>
  </si>
  <si>
    <t>X-XXX-XXX</t>
  </si>
  <si>
    <t>PROVINCIA</t>
  </si>
  <si>
    <t>CORREGIMIENTO</t>
  </si>
  <si>
    <t>SAN FRANCISCO</t>
  </si>
  <si>
    <t>BETHANIA</t>
  </si>
  <si>
    <t>N° CHASIS:</t>
  </si>
  <si>
    <t>N° MOTOR:</t>
  </si>
  <si>
    <t>N° PLACA:</t>
  </si>
  <si>
    <t>AVALUO FIRMADO POR ENCARGADO DE COMPRAS</t>
  </si>
  <si>
    <t>CHEQUE DE GERENCIA</t>
  </si>
  <si>
    <t>DEPOSITO EN CUENTA</t>
  </si>
  <si>
    <t>CHEQUE CONFORMABLE</t>
  </si>
  <si>
    <t>PRIMER APELLIDO:</t>
  </si>
  <si>
    <t>SEGUNDO APELLIDO:</t>
  </si>
  <si>
    <t>PANAMÁ CAR RENTAL, S.A.</t>
  </si>
  <si>
    <t>EVALUACION DEL RIESGO</t>
  </si>
  <si>
    <t>A</t>
  </si>
  <si>
    <t>TOTAL R</t>
  </si>
  <si>
    <t>B</t>
  </si>
  <si>
    <t>C</t>
  </si>
  <si>
    <t xml:space="preserve">TOTAL </t>
  </si>
  <si>
    <t>TOTAL 20%</t>
  </si>
  <si>
    <t>ACTIVIDADES:</t>
  </si>
  <si>
    <t>INGRESOS ANUALES DE LA ACTIVIDAD PRINCIPAL MAYOR DE USD 1 MM</t>
  </si>
  <si>
    <t>DE USD 1 A 5 MM</t>
  </si>
  <si>
    <t>DE USD 5 A 10 MM</t>
  </si>
  <si>
    <t>DE USD 10 A 20 MM</t>
  </si>
  <si>
    <t>MAS DE USD 20 MM</t>
  </si>
  <si>
    <t>INGRESOS ANUALES POR ACTIVIDAD MAYOR DE USD 1 MM</t>
  </si>
  <si>
    <t>D</t>
  </si>
  <si>
    <t>TOTAL</t>
  </si>
  <si>
    <t>TELÉFONO CONTACTO:</t>
  </si>
  <si>
    <t>REFERENCIA BANCARIA:</t>
  </si>
  <si>
    <t>EMPRESA</t>
  </si>
  <si>
    <t xml:space="preserve">BENEFICIARIO FINAL /REPRESENTANTE LEGAL / APODERADO   </t>
  </si>
  <si>
    <t>E</t>
  </si>
  <si>
    <t>NACIONALIDAD</t>
  </si>
  <si>
    <t>Lista GAFI</t>
  </si>
  <si>
    <t>Narcotrafico</t>
  </si>
  <si>
    <t>Lavado de Dinero</t>
  </si>
  <si>
    <t>Trata de Personas</t>
  </si>
  <si>
    <t>Corrupción</t>
  </si>
  <si>
    <t>Terrorismo</t>
  </si>
  <si>
    <t>Promedio</t>
  </si>
  <si>
    <t>Puntaje</t>
  </si>
  <si>
    <t>AFGANA</t>
  </si>
  <si>
    <t>ALBANESA</t>
  </si>
  <si>
    <t>ALEMANA</t>
  </si>
  <si>
    <t>ANDORRANA</t>
  </si>
  <si>
    <t>ANGOLEÑA</t>
  </si>
  <si>
    <t>ANTIGUANA</t>
  </si>
  <si>
    <t>ARGELINA</t>
  </si>
  <si>
    <t>AUSTRALIANA</t>
  </si>
  <si>
    <t>AUSTRIACA</t>
  </si>
  <si>
    <t>AZERBAYANA</t>
  </si>
  <si>
    <t>BAHAMEÑA</t>
  </si>
  <si>
    <t>BANGLADESÍ</t>
  </si>
  <si>
    <t>BARBADENSE</t>
  </si>
  <si>
    <t>BARENÍ</t>
  </si>
  <si>
    <t>BELGA</t>
  </si>
  <si>
    <t>BELICEÑA</t>
  </si>
  <si>
    <t>BENINÉSA</t>
  </si>
  <si>
    <t>BIELORRUSA</t>
  </si>
  <si>
    <t>BIRMANA</t>
  </si>
  <si>
    <t>BOLIVIANA</t>
  </si>
  <si>
    <t>BOSNIA</t>
  </si>
  <si>
    <t>BOTSWANESA</t>
  </si>
  <si>
    <t>BRASILEÑA</t>
  </si>
  <si>
    <t>BRUNEANA</t>
  </si>
  <si>
    <t>BULGARA</t>
  </si>
  <si>
    <t>BURKINESA</t>
  </si>
  <si>
    <t>BURUNDESA</t>
  </si>
  <si>
    <t>BUTANESA</t>
  </si>
  <si>
    <t>CABOVERDIANA</t>
  </si>
  <si>
    <t>CAMBOYANA</t>
  </si>
  <si>
    <t>CAMERUNESA</t>
  </si>
  <si>
    <t>CANADIENSE</t>
  </si>
  <si>
    <t>CATARÍ</t>
  </si>
  <si>
    <t>CEILANESA</t>
  </si>
  <si>
    <t>CENTROAFRICANA</t>
  </si>
  <si>
    <t>CHADIANA</t>
  </si>
  <si>
    <t>CHECA</t>
  </si>
  <si>
    <t>CHILENA</t>
  </si>
  <si>
    <t>CHIPRIOTA</t>
  </si>
  <si>
    <t>COLOMBIANA</t>
  </si>
  <si>
    <t>COMORENSA</t>
  </si>
  <si>
    <t>CONGOLEÑA</t>
  </si>
  <si>
    <t>COSTARRICENSE</t>
  </si>
  <si>
    <t>CROATA</t>
  </si>
  <si>
    <t>CUBANA</t>
  </si>
  <si>
    <t>DANESA</t>
  </si>
  <si>
    <t>DOMINICANA</t>
  </si>
  <si>
    <t>DOMINIQUESA</t>
  </si>
  <si>
    <t>ECUATOGUINEANA</t>
  </si>
  <si>
    <t>ECUATORIANA</t>
  </si>
  <si>
    <t>EGIPCIA</t>
  </si>
  <si>
    <t>ESLOVACA</t>
  </si>
  <si>
    <t>ESLOVENA</t>
  </si>
  <si>
    <t>ESPAÑOLA</t>
  </si>
  <si>
    <t>ESTADOUNIDENSE</t>
  </si>
  <si>
    <t>ETIOPE</t>
  </si>
  <si>
    <t>FIJIANA</t>
  </si>
  <si>
    <t>FILANDESA</t>
  </si>
  <si>
    <t>FILIPINA</t>
  </si>
  <si>
    <t>FRANCESA</t>
  </si>
  <si>
    <t>GABONESA</t>
  </si>
  <si>
    <t>GAMBIANA</t>
  </si>
  <si>
    <t>GEORGIANA</t>
  </si>
  <si>
    <t>GHANESA</t>
  </si>
  <si>
    <t>GRANADINA</t>
  </si>
  <si>
    <t>GRIEGA</t>
  </si>
  <si>
    <t>GUATEMALTECA</t>
  </si>
  <si>
    <t>GUINEANA</t>
  </si>
  <si>
    <t>GUYANESA</t>
  </si>
  <si>
    <t>HAITIANA</t>
  </si>
  <si>
    <t>HOLANDES</t>
  </si>
  <si>
    <t>HONDUREÑA</t>
  </si>
  <si>
    <t>HUNGARA</t>
  </si>
  <si>
    <t>INDONESA</t>
  </si>
  <si>
    <t>INGLESA</t>
  </si>
  <si>
    <t>IRANÍ</t>
  </si>
  <si>
    <t>IRAQUÍ</t>
  </si>
  <si>
    <t>IRLANDESA</t>
  </si>
  <si>
    <t>ISLANDESA</t>
  </si>
  <si>
    <t>ISRAELÍ</t>
  </si>
  <si>
    <t>ITALIANA</t>
  </si>
  <si>
    <t>JAMAIQUINA</t>
  </si>
  <si>
    <t>JAPONESA</t>
  </si>
  <si>
    <t>JORDANA</t>
  </si>
  <si>
    <t>KASAKA</t>
  </si>
  <si>
    <t>KENIANA</t>
  </si>
  <si>
    <t>KIRGUISA</t>
  </si>
  <si>
    <t>KIRIBATIANA</t>
  </si>
  <si>
    <t>KUWAITI</t>
  </si>
  <si>
    <t>LAOSIANA</t>
  </si>
  <si>
    <t>LESOTENSA</t>
  </si>
  <si>
    <t>LETONA</t>
  </si>
  <si>
    <t>LIBANESA</t>
  </si>
  <si>
    <t>LIBERIANA</t>
  </si>
  <si>
    <t>LIECHTENSTEINIANA</t>
  </si>
  <si>
    <t>LITUANA</t>
  </si>
  <si>
    <t>LUXEMBURGUESA</t>
  </si>
  <si>
    <t>MACEDONIA</t>
  </si>
  <si>
    <t>MALAUÍ</t>
  </si>
  <si>
    <t>MALDIVA</t>
  </si>
  <si>
    <t>MALGACHE</t>
  </si>
  <si>
    <t>MALTES</t>
  </si>
  <si>
    <t>MARFILEÑA</t>
  </si>
  <si>
    <t>MARROQUI</t>
  </si>
  <si>
    <t>MARSHALESA</t>
  </si>
  <si>
    <t>MAURICIANA</t>
  </si>
  <si>
    <t>MAURITANA</t>
  </si>
  <si>
    <t>MEXICANA</t>
  </si>
  <si>
    <t>MOLDAVA</t>
  </si>
  <si>
    <t>MONEGASCA</t>
  </si>
  <si>
    <t>MONGOLESA</t>
  </si>
  <si>
    <t>MONTENEGRINA</t>
  </si>
  <si>
    <t>MOZAMBIQUEÑA</t>
  </si>
  <si>
    <t>MYANMAR</t>
  </si>
  <si>
    <t>NAURUANA</t>
  </si>
  <si>
    <t>NEOZELANDESA</t>
  </si>
  <si>
    <t>NEPALÍ</t>
  </si>
  <si>
    <t>NICARAGUENSE</t>
  </si>
  <si>
    <t>NIGERIANA</t>
  </si>
  <si>
    <t>NIGERINA</t>
  </si>
  <si>
    <t>NORCOREANA</t>
  </si>
  <si>
    <t>OMANÍ</t>
  </si>
  <si>
    <t>PAKISTANÍ</t>
  </si>
  <si>
    <t>PALAUANA</t>
  </si>
  <si>
    <t>PANAMEÑA</t>
  </si>
  <si>
    <t>PAPÚ</t>
  </si>
  <si>
    <t>PARAGUAYA</t>
  </si>
  <si>
    <t>PERUANA</t>
  </si>
  <si>
    <t>POLACA</t>
  </si>
  <si>
    <t>PORTUGUESA</t>
  </si>
  <si>
    <t>RUANDESA</t>
  </si>
  <si>
    <t>RUMANA</t>
  </si>
  <si>
    <t>RUSA</t>
  </si>
  <si>
    <t>SALOMONENSA</t>
  </si>
  <si>
    <t>SALVADOREÑA</t>
  </si>
  <si>
    <t>SAMOANA</t>
  </si>
  <si>
    <t>SANMARINENSA</t>
  </si>
  <si>
    <t>SANTALUCENSA</t>
  </si>
  <si>
    <t>SANTOTOMENSA</t>
  </si>
  <si>
    <t>SANVICENTINA</t>
  </si>
  <si>
    <t>SAUDITA</t>
  </si>
  <si>
    <t>SENEGALÍ</t>
  </si>
  <si>
    <t>SEYCHELENSA</t>
  </si>
  <si>
    <t>SIERRALEONESA</t>
  </si>
  <si>
    <t>SOMALÍ</t>
  </si>
  <si>
    <t>SUAZI</t>
  </si>
  <si>
    <t>SUDAFRICANA</t>
  </si>
  <si>
    <t>SUDANESA</t>
  </si>
  <si>
    <t>SUECA</t>
  </si>
  <si>
    <t>SURCOREANA</t>
  </si>
  <si>
    <t>SURINAMESA</t>
  </si>
  <si>
    <t>TAILANDESA</t>
  </si>
  <si>
    <t>TANZANA</t>
  </si>
  <si>
    <t>TAYIKA</t>
  </si>
  <si>
    <t>TIMORENSA</t>
  </si>
  <si>
    <t>TOGOLESA</t>
  </si>
  <si>
    <t>TONGANA</t>
  </si>
  <si>
    <t>TRINITARIA</t>
  </si>
  <si>
    <t>TUNECINA</t>
  </si>
  <si>
    <t>TURCA</t>
  </si>
  <si>
    <t>TURKMENA</t>
  </si>
  <si>
    <t>TUVALUANA</t>
  </si>
  <si>
    <t>UCRANIANA</t>
  </si>
  <si>
    <t>UGANDESA</t>
  </si>
  <si>
    <t>URUGUAYA</t>
  </si>
  <si>
    <t>UZBEKA</t>
  </si>
  <si>
    <t>VANUATENSA</t>
  </si>
  <si>
    <t>VENEZOLANA</t>
  </si>
  <si>
    <t>VIENTAMITA</t>
  </si>
  <si>
    <t>YEMENÍ</t>
  </si>
  <si>
    <t>YIBUTIANA</t>
  </si>
  <si>
    <t>ZAMBIANA</t>
  </si>
  <si>
    <t>ZIMBAUEÑA</t>
  </si>
  <si>
    <t>Cumplimiento</t>
  </si>
  <si>
    <t>TOTAL C</t>
  </si>
  <si>
    <t>RIESGO 5%</t>
  </si>
  <si>
    <t>TOTAL 50%</t>
  </si>
  <si>
    <t>PERSONA NATURAL</t>
  </si>
  <si>
    <t>CUMPLIMIENTO DE REQUISITOS</t>
  </si>
  <si>
    <t>POLÍTICA CONOCE A TU CLIENTE</t>
  </si>
  <si>
    <t>PUNTUACIÓN CUMPLIMIENTO</t>
  </si>
  <si>
    <t>POLITICA CONOCE A TU CLIENTE</t>
  </si>
  <si>
    <t>N° CLENTE GENSYS:</t>
  </si>
  <si>
    <t>Puntuación del File</t>
  </si>
  <si>
    <t>PÁRAMETROS DE  CUMPLIMIENTO</t>
  </si>
  <si>
    <t>Requerimiento Obtenido</t>
  </si>
  <si>
    <t>% Cumpl.</t>
  </si>
  <si>
    <t>% 
Pond.</t>
  </si>
  <si>
    <t>Punt.</t>
  </si>
  <si>
    <t>Declaraciones / Consentimiento / Perfil Financiero</t>
  </si>
  <si>
    <t>Referencias Comerciales / Personales / Bancarias</t>
  </si>
  <si>
    <t>Documentación Requerida</t>
  </si>
  <si>
    <t>CATEGORÍA</t>
  </si>
  <si>
    <t>PUNTAJE</t>
  </si>
  <si>
    <t>SUFICIENTE</t>
  </si>
  <si>
    <t>DEFICIENTE</t>
  </si>
  <si>
    <t>CÉDULA O PASAPORTE:</t>
  </si>
  <si>
    <t>Datos Generales del Cliente</t>
  </si>
  <si>
    <t>Datos Ocupacionales del Clientes</t>
  </si>
  <si>
    <t>Categoria</t>
  </si>
  <si>
    <t>Categoría</t>
  </si>
  <si>
    <t>CLASIFICACIÓN CUALITATIVA Y CUANTITATIVA DEL CUMPLIMIENTO</t>
  </si>
  <si>
    <t>NO FINANCIADO</t>
  </si>
  <si>
    <t>Puntaje Max</t>
  </si>
  <si>
    <t>FORTUNER</t>
  </si>
  <si>
    <t>PRADO</t>
  </si>
  <si>
    <t>TRANSACCIÓN DE VENTA:</t>
  </si>
  <si>
    <t>TELÉFONOS:</t>
  </si>
  <si>
    <t>ORLANDO DE LA ESPADA</t>
  </si>
  <si>
    <t>EMMA URDANETA</t>
  </si>
  <si>
    <t>DIOVELIS CAMPOS</t>
  </si>
  <si>
    <t>ALBIN BORBUA</t>
  </si>
  <si>
    <t>CARLOS CHAMORRO</t>
  </si>
  <si>
    <t>SERGIO DEL RIO</t>
  </si>
  <si>
    <t>NATALIE CUVILLIER</t>
  </si>
  <si>
    <t>CHRISTIAN RUIZ</t>
  </si>
  <si>
    <t>PAOLA ERAZO</t>
  </si>
  <si>
    <t>KATIBEL SAA</t>
  </si>
  <si>
    <t>ALEXIS LOPEZ</t>
  </si>
  <si>
    <t>ARIEL ACEVEDO</t>
  </si>
  <si>
    <t>KEVIN PINZON</t>
  </si>
  <si>
    <t>MISAEL PEREZ</t>
  </si>
  <si>
    <t>ZUSSETT YOUNG</t>
  </si>
  <si>
    <t>VICTORIA SÁNCHEZ</t>
  </si>
  <si>
    <t>CHORRERA</t>
  </si>
  <si>
    <t>DAVID</t>
  </si>
  <si>
    <t>HINO</t>
  </si>
  <si>
    <t>ACCENT SOLARIS</t>
  </si>
  <si>
    <t>APV</t>
  </si>
  <si>
    <t>COASTER</t>
  </si>
  <si>
    <t>CRETA</t>
  </si>
  <si>
    <t>DUTRO</t>
  </si>
  <si>
    <t>FUSO</t>
  </si>
  <si>
    <t>GRAND I-10</t>
  </si>
  <si>
    <t>H 1 BUSITO</t>
  </si>
  <si>
    <t>H 1 PANEL</t>
  </si>
  <si>
    <t>HI ACE BUSITO</t>
  </si>
  <si>
    <t>HI ACE PANEL</t>
  </si>
  <si>
    <t>HILUX 1 C</t>
  </si>
  <si>
    <t>HILUX 2 C</t>
  </si>
  <si>
    <t>I-10</t>
  </si>
  <si>
    <t>JIMNY GA</t>
  </si>
  <si>
    <t>K2700</t>
  </si>
  <si>
    <t>K2700 1 C</t>
  </si>
  <si>
    <t>KICKS</t>
  </si>
  <si>
    <t>NP300</t>
  </si>
  <si>
    <t>ODYSSEY EX</t>
  </si>
  <si>
    <t>PILOT</t>
  </si>
  <si>
    <t>RAV-4</t>
  </si>
  <si>
    <t>RIO SPORT</t>
  </si>
  <si>
    <t>URVAN</t>
  </si>
  <si>
    <t>X-TRAIL</t>
  </si>
  <si>
    <t>DECLARACIÓN DE INVESTIGACIÓN JURADA</t>
  </si>
  <si>
    <t xml:space="preserve">DECLARACIÓN JURADA PERSONA NATURAL </t>
  </si>
  <si>
    <t>AÑADIR SELECCIÓN PRIVADA O PUBLICA PONER PESTAÑA</t>
  </si>
  <si>
    <t xml:space="preserve">CARGO ACTUAL O ANTERIOR: INLCUIR LISTADO DEL MANUAL PARA SELECCIONAR </t>
  </si>
  <si>
    <t>COLOCAR DISCLAIMER</t>
  </si>
  <si>
    <t xml:space="preserve">LOGO GRUPO PCR </t>
  </si>
  <si>
    <t>FORMULARIO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</si>
</sst>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 #,##0.00_-;_-* &quot;-&quot;??_-;_-@_-"/>
    <numFmt numFmtId="166" formatCode="dd/mm/yyyy;@"/>
    <numFmt numFmtId="167" formatCode="ddmmyyyy"/>
    <numFmt numFmtId="170" formatCode="#,##0_ ;\-#,##0\ "/>
    <numFmt numFmtId="171" formatCode="0.0"/>
  </numFmts>
  <fonts count="24">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8"/>
      <color theme="1"/>
      <name val="Calibri"/>
      <family val="2"/>
      <scheme val="minor"/>
    </font>
    <font>
      <b/>
      <sz val="9"/>
      <color theme="1"/>
      <name val="Calibri"/>
      <family val="2"/>
      <scheme val="minor"/>
    </font>
    <font>
      <b/>
      <sz val="16"/>
      <color theme="1"/>
      <name val="Calibri"/>
      <family val="2"/>
      <scheme val="minor"/>
    </font>
    <font>
      <b/>
      <sz val="11"/>
      <name val="Calibri"/>
      <family val="2"/>
      <scheme val="minor"/>
    </font>
    <font>
      <sz val="10"/>
      <color theme="1"/>
      <name val="Calibri"/>
      <family val="2"/>
      <scheme val="minor"/>
    </font>
    <font>
      <sz val="16"/>
      <color theme="1"/>
      <name val="Calibri"/>
      <family val="2"/>
      <scheme val="minor"/>
    </font>
    <font>
      <b/>
      <sz val="16"/>
      <name val="Calibri"/>
      <family val="2"/>
      <scheme val="minor"/>
    </font>
    <font>
      <sz val="16"/>
      <name val="Calibri"/>
      <family val="2"/>
      <scheme val="minor"/>
    </font>
    <font>
      <b/>
      <sz val="11"/>
      <color rgb="FF000000"/>
      <name val="Calibri"/>
      <family val="2"/>
    </font>
    <font>
      <b/>
      <sz val="8"/>
      <color rgb="FF000000"/>
      <name val="Calibri"/>
      <family val="2"/>
    </font>
    <font>
      <sz val="16"/>
      <name val="Futura LT"/>
    </font>
    <font>
      <b/>
      <sz val="9"/>
      <name val="Calibri"/>
      <family val="2"/>
      <scheme val="minor"/>
    </font>
    <font>
      <sz val="12"/>
      <name val="Futura LT"/>
    </font>
    <font>
      <b/>
      <sz val="11"/>
      <color theme="0"/>
      <name val="Calibri"/>
      <family val="2"/>
      <scheme val="minor"/>
    </font>
    <font>
      <b/>
      <sz val="10"/>
      <color rgb="FF000000"/>
      <name val="Calibri"/>
      <family val="2"/>
    </font>
    <font>
      <b/>
      <sz val="12"/>
      <color theme="0"/>
      <name val="Calibri"/>
      <family val="2"/>
      <scheme val="minor"/>
    </font>
    <font>
      <u/>
      <sz val="11"/>
      <color theme="10"/>
      <name val="Calibri"/>
      <family val="2"/>
      <scheme val="minor"/>
    </font>
    <font>
      <b/>
      <sz val="16"/>
      <color theme="0"/>
      <name val="Calibri"/>
      <family val="2"/>
      <scheme val="minor"/>
    </font>
    <font>
      <b/>
      <sz val="20"/>
      <color theme="1"/>
      <name val="Calibri"/>
      <family val="2"/>
      <scheme val="minor"/>
    </font>
  </fonts>
  <fills count="18">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A6A6A6"/>
      </patternFill>
    </fill>
    <fill>
      <patternFill patternType="solid">
        <fgColor rgb="FFFF0000"/>
        <bgColor indexed="64"/>
      </patternFill>
    </fill>
    <fill>
      <patternFill patternType="solid">
        <fgColor theme="0" tint="-4.9989318521683403E-2"/>
        <bgColor indexed="64"/>
      </patternFill>
    </fill>
    <fill>
      <patternFill patternType="solid">
        <fgColor theme="1"/>
        <bgColor indexed="64"/>
      </patternFill>
    </fill>
    <fill>
      <patternFill patternType="solid">
        <fgColor rgb="FF92D050"/>
        <bgColor indexed="64"/>
      </patternFill>
    </fill>
    <fill>
      <patternFill patternType="solid">
        <fgColor rgb="FFFFFF00"/>
        <bgColor indexed="64"/>
      </patternFill>
    </fill>
    <fill>
      <patternFill patternType="solid">
        <fgColor rgb="FFFF5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s>
  <borders count="83">
    <border>
      <left/>
      <right/>
      <top/>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thin">
        <color rgb="FF000000"/>
      </left>
      <right/>
      <top style="thin">
        <color indexed="64"/>
      </top>
      <bottom style="thin">
        <color indexed="64"/>
      </bottom>
      <diagonal/>
    </border>
    <border>
      <left style="thin">
        <color indexed="64"/>
      </left>
      <right/>
      <top style="thin">
        <color rgb="FF000000"/>
      </top>
      <bottom style="thin">
        <color rgb="FF000000"/>
      </bottom>
      <diagonal/>
    </border>
    <border>
      <left/>
      <right style="thin">
        <color indexed="64"/>
      </right>
      <top/>
      <bottom/>
      <diagonal/>
    </border>
    <border>
      <left style="thin">
        <color indexed="64"/>
      </left>
      <right/>
      <top style="thin">
        <color rgb="FF000000"/>
      </top>
      <bottom style="thin">
        <color indexed="64"/>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style="thin">
        <color indexed="64"/>
      </left>
      <right/>
      <top/>
      <bottom/>
      <diagonal/>
    </border>
    <border>
      <left style="thin">
        <color rgb="FF000000"/>
      </left>
      <right/>
      <top/>
      <bottom/>
      <diagonal/>
    </border>
    <border>
      <left style="thin">
        <color rgb="FF000000"/>
      </left>
      <right/>
      <top style="thin">
        <color indexed="64"/>
      </top>
      <bottom style="thin">
        <color rgb="FF000000"/>
      </bottom>
      <diagonal/>
    </border>
    <border>
      <left/>
      <right style="thin">
        <color indexed="64"/>
      </right>
      <top style="thin">
        <color indexed="64"/>
      </top>
      <bottom style="thin">
        <color rgb="FF000000"/>
      </bottom>
      <diagonal/>
    </border>
    <border>
      <left/>
      <right style="thin">
        <color indexed="64"/>
      </right>
      <top style="thin">
        <color rgb="FF000000"/>
      </top>
      <bottom style="thin">
        <color rgb="FF000000"/>
      </bottom>
      <diagonal/>
    </border>
    <border>
      <left style="thin">
        <color rgb="FF000000"/>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thin">
        <color rgb="FF000000"/>
      </right>
      <top style="thin">
        <color rgb="FF000000"/>
      </top>
      <bottom/>
      <diagonal/>
    </border>
    <border>
      <left style="thin">
        <color indexed="64"/>
      </left>
      <right/>
      <top/>
      <bottom style="thin">
        <color rgb="FF000000"/>
      </bottom>
      <diagonal/>
    </border>
    <border>
      <left/>
      <right style="thin">
        <color indexed="64"/>
      </right>
      <top/>
      <bottom style="thin">
        <color rgb="FF000000"/>
      </bottom>
      <diagonal/>
    </border>
    <border>
      <left/>
      <right/>
      <top style="thin">
        <color rgb="FF000000"/>
      </top>
      <bottom style="thin">
        <color indexed="64"/>
      </bottom>
      <diagonal/>
    </border>
    <border>
      <left/>
      <right style="thin">
        <color rgb="FF000000"/>
      </right>
      <top style="thin">
        <color indexed="64"/>
      </top>
      <bottom/>
      <diagonal/>
    </border>
    <border>
      <left style="thin">
        <color rgb="FF000000"/>
      </left>
      <right style="thin">
        <color rgb="FF000000"/>
      </right>
      <top style="thin">
        <color rgb="FF000000"/>
      </top>
      <bottom style="thin">
        <color indexed="64"/>
      </bottom>
      <diagonal/>
    </border>
    <border>
      <left/>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s>
  <cellStyleXfs count="4">
    <xf numFmtId="0" fontId="0" fillId="0" borderId="0"/>
    <xf numFmtId="164" fontId="1" fillId="0" borderId="0" applyFont="0" applyFill="0" applyBorder="0" applyAlignment="0" applyProtection="0"/>
    <xf numFmtId="9" fontId="1" fillId="0" borderId="0" applyFont="0" applyFill="0" applyBorder="0" applyAlignment="0" applyProtection="0"/>
    <xf numFmtId="0" fontId="21" fillId="0" borderId="0" applyNumberFormat="0" applyFill="0" applyBorder="0" applyAlignment="0" applyProtection="0"/>
  </cellStyleXfs>
  <cellXfs count="497">
    <xf numFmtId="0" fontId="0" fillId="0" borderId="0" xfId="0"/>
    <xf numFmtId="0" fontId="4" fillId="0" borderId="0" xfId="0" applyFont="1"/>
    <xf numFmtId="0" fontId="3" fillId="0" borderId="0" xfId="0" applyFont="1"/>
    <xf numFmtId="0" fontId="3" fillId="2" borderId="0" xfId="0" applyFont="1" applyFill="1"/>
    <xf numFmtId="0" fontId="5" fillId="2" borderId="2" xfId="0" applyFont="1" applyFill="1" applyBorder="1"/>
    <xf numFmtId="0" fontId="3" fillId="0" borderId="3" xfId="0" applyFont="1" applyBorder="1"/>
    <xf numFmtId="0" fontId="2" fillId="0" borderId="0" xfId="0" applyFont="1"/>
    <xf numFmtId="0" fontId="0" fillId="0" borderId="0" xfId="0" applyAlignment="1">
      <alignment horizontal="left"/>
    </xf>
    <xf numFmtId="0" fontId="4" fillId="0" borderId="10" xfId="0" applyFont="1" applyBorder="1"/>
    <xf numFmtId="0" fontId="4" fillId="0" borderId="11" xfId="0" applyFont="1" applyBorder="1"/>
    <xf numFmtId="0" fontId="4" fillId="0" borderId="6" xfId="0" applyFont="1" applyBorder="1"/>
    <xf numFmtId="0" fontId="4" fillId="0" borderId="3" xfId="0" applyFont="1" applyBorder="1"/>
    <xf numFmtId="0" fontId="4" fillId="0" borderId="7" xfId="0" applyFont="1" applyBorder="1"/>
    <xf numFmtId="0" fontId="4" fillId="0" borderId="13" xfId="0" applyFont="1" applyBorder="1"/>
    <xf numFmtId="0" fontId="3" fillId="2" borderId="0" xfId="0" applyFont="1" applyFill="1" applyAlignment="1">
      <alignment horizontal="left"/>
    </xf>
    <xf numFmtId="0" fontId="0" fillId="0" borderId="15" xfId="0" applyBorder="1"/>
    <xf numFmtId="0" fontId="0" fillId="0" borderId="0" xfId="0" applyAlignment="1">
      <alignment vertical="top"/>
    </xf>
    <xf numFmtId="0" fontId="5" fillId="0" borderId="0" xfId="0" applyFont="1"/>
    <xf numFmtId="0" fontId="0" fillId="0" borderId="0" xfId="0" applyAlignment="1">
      <alignment vertical="center"/>
    </xf>
    <xf numFmtId="0" fontId="0" fillId="0" borderId="25" xfId="0" applyBorder="1" applyAlignment="1">
      <alignment vertical="center"/>
    </xf>
    <xf numFmtId="0" fontId="0" fillId="0" borderId="26" xfId="0" applyBorder="1" applyAlignment="1">
      <alignment vertical="center"/>
    </xf>
    <xf numFmtId="0" fontId="0" fillId="0" borderId="24" xfId="0" applyBorder="1" applyAlignment="1">
      <alignment vertical="center" wrapText="1"/>
    </xf>
    <xf numFmtId="0" fontId="0" fillId="0" borderId="14" xfId="0" applyBorder="1" applyAlignment="1">
      <alignment vertical="center" wrapText="1"/>
    </xf>
    <xf numFmtId="0" fontId="0" fillId="0" borderId="30" xfId="0" applyBorder="1" applyAlignment="1">
      <alignment vertical="center" wrapText="1"/>
    </xf>
    <xf numFmtId="0" fontId="9" fillId="0" borderId="0" xfId="0" applyFont="1"/>
    <xf numFmtId="0" fontId="10" fillId="2" borderId="5" xfId="0" applyFont="1" applyFill="1" applyBorder="1" applyAlignment="1">
      <alignment horizontal="left" vertical="center"/>
    </xf>
    <xf numFmtId="0" fontId="10" fillId="2" borderId="8" xfId="0" applyFont="1" applyFill="1" applyBorder="1" applyAlignment="1">
      <alignment horizontal="left" vertical="center"/>
    </xf>
    <xf numFmtId="0" fontId="7" fillId="2" borderId="0" xfId="0" applyFont="1" applyFill="1"/>
    <xf numFmtId="0" fontId="7" fillId="2" borderId="0" xfId="0" applyFont="1" applyFill="1" applyAlignment="1">
      <alignment horizontal="right"/>
    </xf>
    <xf numFmtId="0" fontId="7" fillId="2" borderId="0" xfId="0" applyFont="1" applyFill="1" applyAlignment="1">
      <alignment horizontal="left" wrapText="1"/>
    </xf>
    <xf numFmtId="0" fontId="7" fillId="2" borderId="0" xfId="0" applyFont="1" applyFill="1" applyAlignment="1">
      <alignment horizontal="left" vertical="center" wrapText="1"/>
    </xf>
    <xf numFmtId="0" fontId="7" fillId="2" borderId="0" xfId="0" applyFont="1" applyFill="1" applyAlignment="1">
      <alignment wrapText="1"/>
    </xf>
    <xf numFmtId="0" fontId="11" fillId="2" borderId="0" xfId="0" applyFont="1" applyFill="1"/>
    <xf numFmtId="0" fontId="10" fillId="2" borderId="0" xfId="0" applyFont="1" applyFill="1" applyAlignment="1">
      <alignment horizontal="left"/>
    </xf>
    <xf numFmtId="0" fontId="12" fillId="0" borderId="0" xfId="0" applyFont="1" applyAlignment="1">
      <alignment horizontal="left"/>
    </xf>
    <xf numFmtId="0" fontId="10" fillId="2" borderId="5" xfId="0" applyFont="1" applyFill="1" applyBorder="1" applyAlignment="1">
      <alignment vertical="center"/>
    </xf>
    <xf numFmtId="0" fontId="10" fillId="2" borderId="8" xfId="0" applyFont="1" applyFill="1" applyBorder="1" applyAlignment="1">
      <alignment vertical="center"/>
    </xf>
    <xf numFmtId="0" fontId="7" fillId="2" borderId="12" xfId="0" applyFont="1" applyFill="1" applyBorder="1" applyAlignment="1">
      <alignment horizontal="left" vertical="center" wrapText="1"/>
    </xf>
    <xf numFmtId="0" fontId="7" fillId="2" borderId="12" xfId="0" applyFont="1" applyFill="1" applyBorder="1"/>
    <xf numFmtId="0" fontId="0" fillId="0" borderId="15" xfId="0" applyBorder="1" applyAlignment="1">
      <alignment horizontal="left" vertical="top"/>
    </xf>
    <xf numFmtId="0" fontId="0" fillId="0" borderId="20" xfId="0" applyBorder="1" applyAlignment="1">
      <alignment horizontal="left" vertical="top"/>
    </xf>
    <xf numFmtId="0" fontId="13" fillId="0" borderId="47" xfId="0" applyFont="1" applyBorder="1" applyAlignment="1">
      <alignment horizontal="left" vertical="top"/>
    </xf>
    <xf numFmtId="0" fontId="13" fillId="0" borderId="44" xfId="0" applyFont="1" applyBorder="1" applyAlignment="1">
      <alignment horizontal="left" vertical="top"/>
    </xf>
    <xf numFmtId="0" fontId="2" fillId="0" borderId="0" xfId="0" applyFont="1" applyAlignment="1">
      <alignment horizontal="center"/>
    </xf>
    <xf numFmtId="0" fontId="10" fillId="0" borderId="5" xfId="0" applyFont="1" applyBorder="1" applyAlignment="1">
      <alignment horizontal="left" vertical="center"/>
    </xf>
    <xf numFmtId="0" fontId="0" fillId="0" borderId="15" xfId="0" applyBorder="1" applyAlignment="1">
      <alignment vertical="top"/>
    </xf>
    <xf numFmtId="0" fontId="0" fillId="0" borderId="20" xfId="0" applyBorder="1" applyAlignment="1">
      <alignment vertical="top"/>
    </xf>
    <xf numFmtId="0" fontId="2" fillId="0" borderId="0" xfId="0" applyFont="1" applyAlignment="1">
      <alignment horizontal="left"/>
    </xf>
    <xf numFmtId="0" fontId="0" fillId="0" borderId="0" xfId="0" applyAlignment="1">
      <alignment horizontal="left" vertical="top"/>
    </xf>
    <xf numFmtId="0" fontId="15" fillId="2" borderId="36" xfId="0" applyFont="1" applyFill="1" applyBorder="1" applyAlignment="1">
      <alignment horizontal="center" vertical="center" wrapText="1"/>
    </xf>
    <xf numFmtId="0" fontId="13" fillId="0" borderId="36" xfId="0" applyFont="1" applyBorder="1" applyAlignment="1">
      <alignment horizontal="center" vertical="center"/>
    </xf>
    <xf numFmtId="0" fontId="13" fillId="0" borderId="48" xfId="0" applyFont="1" applyBorder="1" applyAlignment="1">
      <alignment horizontal="center" vertical="center"/>
    </xf>
    <xf numFmtId="14" fontId="10" fillId="2" borderId="0" xfId="0" applyNumberFormat="1" applyFont="1" applyFill="1" applyAlignment="1">
      <alignment horizontal="left"/>
    </xf>
    <xf numFmtId="0" fontId="2" fillId="0" borderId="24" xfId="0" applyFont="1" applyBorder="1" applyAlignment="1">
      <alignment vertical="center"/>
    </xf>
    <xf numFmtId="0" fontId="2" fillId="0" borderId="27" xfId="0" applyFont="1" applyBorder="1" applyAlignment="1">
      <alignment vertical="center"/>
    </xf>
    <xf numFmtId="0" fontId="2" fillId="0" borderId="19" xfId="0" applyFont="1" applyBorder="1" applyAlignment="1">
      <alignment vertical="center"/>
    </xf>
    <xf numFmtId="0" fontId="15" fillId="2" borderId="0" xfId="0" applyFont="1" applyFill="1" applyAlignment="1">
      <alignment horizontal="center" vertical="center" wrapText="1"/>
    </xf>
    <xf numFmtId="0" fontId="0" fillId="0" borderId="6" xfId="0" applyBorder="1" applyAlignment="1">
      <alignment vertical="center" wrapText="1"/>
    </xf>
    <xf numFmtId="0" fontId="0" fillId="0" borderId="0" xfId="0" applyAlignment="1">
      <alignment vertical="center" wrapText="1"/>
    </xf>
    <xf numFmtId="0" fontId="0" fillId="0" borderId="3" xfId="0" applyBorder="1" applyAlignment="1">
      <alignment vertical="center" wrapText="1"/>
    </xf>
    <xf numFmtId="0" fontId="2" fillId="0" borderId="36" xfId="0" applyFont="1" applyBorder="1" applyAlignment="1">
      <alignment horizontal="center" vertical="center"/>
    </xf>
    <xf numFmtId="0" fontId="2" fillId="0" borderId="15" xfId="0" applyFont="1" applyBorder="1" applyAlignment="1">
      <alignment vertical="center"/>
    </xf>
    <xf numFmtId="0" fontId="2" fillId="0" borderId="14" xfId="0" applyFont="1" applyBorder="1" applyAlignment="1">
      <alignment vertical="center"/>
    </xf>
    <xf numFmtId="166" fontId="0" fillId="0" borderId="0" xfId="0" applyNumberFormat="1" applyAlignment="1">
      <alignment horizontal="left" vertical="top"/>
    </xf>
    <xf numFmtId="0" fontId="13" fillId="0" borderId="62" xfId="0" applyFont="1" applyBorder="1" applyAlignment="1">
      <alignment horizontal="center" vertical="center"/>
    </xf>
    <xf numFmtId="0" fontId="13" fillId="0" borderId="35" xfId="0" applyFont="1" applyBorder="1" applyAlignment="1">
      <alignment horizontal="center" vertical="center"/>
    </xf>
    <xf numFmtId="0" fontId="13" fillId="0" borderId="45" xfId="0" applyFont="1" applyBorder="1" applyAlignment="1">
      <alignment horizontal="center" vertical="center" wrapText="1"/>
    </xf>
    <xf numFmtId="0" fontId="13" fillId="0" borderId="0" xfId="0" applyFont="1" applyAlignment="1">
      <alignment vertical="top"/>
    </xf>
    <xf numFmtId="3" fontId="0" fillId="0" borderId="0" xfId="0" applyNumberFormat="1" applyAlignment="1">
      <alignment horizontal="left" vertical="top"/>
    </xf>
    <xf numFmtId="166" fontId="0" fillId="0" borderId="0" xfId="0" applyNumberFormat="1" applyAlignment="1">
      <alignment vertical="top"/>
    </xf>
    <xf numFmtId="166" fontId="0" fillId="0" borderId="15" xfId="0" applyNumberFormat="1" applyBorder="1" applyAlignment="1">
      <alignment horizontal="left" vertical="top"/>
    </xf>
    <xf numFmtId="166" fontId="0" fillId="0" borderId="20" xfId="0" applyNumberFormat="1" applyBorder="1" applyAlignment="1">
      <alignment horizontal="left" vertical="top"/>
    </xf>
    <xf numFmtId="0" fontId="13" fillId="0" borderId="71" xfId="0" applyFont="1" applyBorder="1" applyAlignment="1">
      <alignment horizontal="center" vertical="center" wrapText="1"/>
    </xf>
    <xf numFmtId="0" fontId="13" fillId="0" borderId="46" xfId="0" applyFont="1" applyBorder="1" applyAlignment="1">
      <alignment horizontal="center" vertical="center" wrapText="1"/>
    </xf>
    <xf numFmtId="1" fontId="0" fillId="0" borderId="0" xfId="0" applyNumberFormat="1" applyAlignment="1">
      <alignment vertical="top"/>
    </xf>
    <xf numFmtId="0" fontId="13" fillId="0" borderId="54" xfId="0" applyFont="1" applyBorder="1" applyAlignment="1">
      <alignment horizontal="left" vertical="top"/>
    </xf>
    <xf numFmtId="0" fontId="0" fillId="0" borderId="20" xfId="0" applyBorder="1"/>
    <xf numFmtId="0" fontId="17" fillId="2" borderId="36" xfId="0" applyFont="1" applyFill="1" applyBorder="1" applyAlignment="1">
      <alignment horizontal="center" vertical="center" wrapText="1"/>
    </xf>
    <xf numFmtId="0" fontId="15" fillId="2" borderId="6" xfId="0" applyFont="1" applyFill="1" applyBorder="1" applyAlignment="1">
      <alignment horizontal="center" vertical="center" wrapText="1"/>
    </xf>
    <xf numFmtId="0" fontId="2" fillId="0" borderId="37" xfId="0" applyFont="1" applyBorder="1" applyAlignment="1">
      <alignment horizontal="center" vertical="center"/>
    </xf>
    <xf numFmtId="0" fontId="15" fillId="2" borderId="37" xfId="0" applyFont="1" applyFill="1" applyBorder="1" applyAlignment="1">
      <alignment horizontal="center" vertical="center" wrapText="1"/>
    </xf>
    <xf numFmtId="0" fontId="0" fillId="0" borderId="0" xfId="0" applyAlignment="1">
      <alignment horizontal="center"/>
    </xf>
    <xf numFmtId="0" fontId="0" fillId="0" borderId="19" xfId="0" applyBorder="1" applyAlignment="1" applyProtection="1">
      <alignment vertical="top"/>
      <protection locked="0"/>
    </xf>
    <xf numFmtId="166" fontId="0" fillId="0" borderId="19" xfId="0" applyNumberFormat="1" applyBorder="1" applyAlignment="1" applyProtection="1">
      <alignment horizontal="left" vertical="top"/>
      <protection locked="0"/>
    </xf>
    <xf numFmtId="0" fontId="0" fillId="0" borderId="61" xfId="0" applyBorder="1" applyAlignment="1" applyProtection="1">
      <alignment horizontal="left" vertical="top"/>
      <protection locked="0"/>
    </xf>
    <xf numFmtId="0" fontId="0" fillId="0" borderId="32" xfId="0" applyBorder="1" applyAlignment="1" applyProtection="1">
      <alignment horizontal="left" vertical="top"/>
      <protection locked="0"/>
    </xf>
    <xf numFmtId="3" fontId="0" fillId="0" borderId="32" xfId="0" applyNumberFormat="1" applyBorder="1" applyAlignment="1" applyProtection="1">
      <alignment horizontal="left" vertical="top"/>
      <protection locked="0"/>
    </xf>
    <xf numFmtId="0" fontId="0" fillId="0" borderId="15" xfId="0" applyBorder="1" applyAlignment="1" applyProtection="1">
      <alignment horizontal="left" vertical="top"/>
      <protection locked="0"/>
    </xf>
    <xf numFmtId="0" fontId="0" fillId="0" borderId="20" xfId="0" applyBorder="1" applyAlignment="1" applyProtection="1">
      <alignment horizontal="left" vertical="top"/>
      <protection locked="0"/>
    </xf>
    <xf numFmtId="166" fontId="0" fillId="0" borderId="15" xfId="0" applyNumberFormat="1" applyBorder="1" applyAlignment="1" applyProtection="1">
      <alignment horizontal="left" vertical="top"/>
      <protection locked="0"/>
    </xf>
    <xf numFmtId="166" fontId="0" fillId="0" borderId="20" xfId="0" applyNumberFormat="1" applyBorder="1" applyAlignment="1" applyProtection="1">
      <alignment horizontal="left" vertical="top"/>
      <protection locked="0"/>
    </xf>
    <xf numFmtId="0" fontId="0" fillId="0" borderId="15" xfId="0" applyBorder="1" applyAlignment="1" applyProtection="1">
      <alignment vertical="top"/>
      <protection locked="0"/>
    </xf>
    <xf numFmtId="0" fontId="0" fillId="0" borderId="20" xfId="0" applyBorder="1" applyAlignment="1" applyProtection="1">
      <alignment vertical="top"/>
      <protection locked="0"/>
    </xf>
    <xf numFmtId="0" fontId="0" fillId="0" borderId="18" xfId="0" applyBorder="1" applyAlignment="1" applyProtection="1">
      <alignment horizontal="left" vertical="top"/>
      <protection locked="0"/>
    </xf>
    <xf numFmtId="0" fontId="15" fillId="2" borderId="36" xfId="0" applyFont="1" applyFill="1" applyBorder="1" applyAlignment="1" applyProtection="1">
      <alignment horizontal="center" vertical="center" wrapText="1"/>
      <protection locked="0"/>
    </xf>
    <xf numFmtId="0" fontId="15" fillId="2" borderId="34" xfId="0" applyFont="1" applyFill="1" applyBorder="1" applyAlignment="1" applyProtection="1">
      <alignment horizontal="center" vertical="center" wrapText="1"/>
      <protection locked="0"/>
    </xf>
    <xf numFmtId="0" fontId="15" fillId="2" borderId="35" xfId="0" applyFont="1" applyFill="1" applyBorder="1" applyAlignment="1" applyProtection="1">
      <alignment horizontal="center" vertical="center" wrapText="1"/>
      <protection locked="0"/>
    </xf>
    <xf numFmtId="0" fontId="15" fillId="2" borderId="19" xfId="0" applyFont="1" applyFill="1" applyBorder="1" applyAlignment="1" applyProtection="1">
      <alignment horizontal="center" vertical="center" wrapText="1"/>
      <protection locked="0"/>
    </xf>
    <xf numFmtId="0" fontId="15" fillId="2" borderId="20" xfId="0" applyFont="1" applyFill="1" applyBorder="1" applyAlignment="1" applyProtection="1">
      <alignment horizontal="center" vertical="center" wrapText="1"/>
      <protection locked="0"/>
    </xf>
    <xf numFmtId="0" fontId="15" fillId="2" borderId="32" xfId="0" applyFont="1" applyFill="1" applyBorder="1" applyAlignment="1" applyProtection="1">
      <alignment horizontal="center" vertical="center" wrapText="1"/>
      <protection locked="0"/>
    </xf>
    <xf numFmtId="0" fontId="17" fillId="2" borderId="36" xfId="0" applyFont="1" applyFill="1" applyBorder="1" applyAlignment="1" applyProtection="1">
      <alignment horizontal="center" vertical="center" wrapText="1"/>
      <protection locked="0"/>
    </xf>
    <xf numFmtId="0" fontId="15" fillId="2" borderId="1" xfId="0" applyFont="1" applyFill="1" applyBorder="1" applyAlignment="1" applyProtection="1">
      <alignment horizontal="center" vertical="center" wrapText="1"/>
      <protection locked="0"/>
    </xf>
    <xf numFmtId="0" fontId="10" fillId="0" borderId="0" xfId="0" applyFont="1" applyAlignment="1">
      <alignment horizontal="left"/>
    </xf>
    <xf numFmtId="0" fontId="0" fillId="0" borderId="37" xfId="0" applyBorder="1" applyAlignment="1">
      <alignment horizontal="center" vertical="center"/>
    </xf>
    <xf numFmtId="1" fontId="0" fillId="0" borderId="32" xfId="0" applyNumberFormat="1" applyBorder="1" applyAlignment="1" applyProtection="1">
      <alignment horizontal="left" vertical="top"/>
      <protection locked="0"/>
    </xf>
    <xf numFmtId="167" fontId="0" fillId="0" borderId="0" xfId="0" applyNumberFormat="1" applyAlignment="1">
      <alignment horizontal="left"/>
    </xf>
    <xf numFmtId="0" fontId="10" fillId="0" borderId="5" xfId="0" applyFont="1" applyBorder="1" applyAlignment="1">
      <alignment vertical="center"/>
    </xf>
    <xf numFmtId="0" fontId="0" fillId="0" borderId="18" xfId="0" applyBorder="1" applyAlignment="1">
      <alignment horizontal="left" vertical="top"/>
    </xf>
    <xf numFmtId="0" fontId="0" fillId="0" borderId="31" xfId="0" applyBorder="1" applyAlignment="1">
      <alignment horizontal="left" vertical="top"/>
    </xf>
    <xf numFmtId="0" fontId="0" fillId="0" borderId="20" xfId="0" applyBorder="1" applyAlignment="1">
      <alignment horizontal="left" vertical="center"/>
    </xf>
    <xf numFmtId="0" fontId="0" fillId="0" borderId="26" xfId="0" applyBorder="1" applyAlignment="1">
      <alignment horizontal="left" vertical="center"/>
    </xf>
    <xf numFmtId="0" fontId="0" fillId="0" borderId="19" xfId="0" applyBorder="1" applyAlignment="1" applyProtection="1">
      <alignment horizontal="left" vertical="top"/>
      <protection locked="0"/>
    </xf>
    <xf numFmtId="0" fontId="0" fillId="0" borderId="14" xfId="0" applyBorder="1" applyAlignment="1">
      <alignment horizontal="center" vertical="center"/>
    </xf>
    <xf numFmtId="0" fontId="2" fillId="0" borderId="38" xfId="0" applyFont="1" applyBorder="1" applyAlignment="1">
      <alignment horizontal="center" vertical="center"/>
    </xf>
    <xf numFmtId="0" fontId="2" fillId="0" borderId="36" xfId="0" applyFont="1" applyBorder="1" applyAlignment="1">
      <alignment horizontal="center" vertical="center" wrapText="1"/>
    </xf>
    <xf numFmtId="0" fontId="2" fillId="0" borderId="15"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center" vertical="center"/>
    </xf>
    <xf numFmtId="0" fontId="0" fillId="0" borderId="25" xfId="0" applyBorder="1" applyAlignment="1">
      <alignment horizontal="left" vertical="center"/>
    </xf>
    <xf numFmtId="0" fontId="0" fillId="0" borderId="36" xfId="0" applyBorder="1" applyAlignment="1" applyProtection="1">
      <alignment vertical="top"/>
      <protection locked="0"/>
    </xf>
    <xf numFmtId="0" fontId="0" fillId="0" borderId="36" xfId="0" applyBorder="1" applyAlignment="1" applyProtection="1">
      <alignment horizontal="left" vertical="top"/>
      <protection locked="0"/>
    </xf>
    <xf numFmtId="166" fontId="0" fillId="0" borderId="36" xfId="0" applyNumberFormat="1" applyBorder="1" applyAlignment="1" applyProtection="1">
      <alignment horizontal="left" vertical="top"/>
      <protection locked="0"/>
    </xf>
    <xf numFmtId="166" fontId="0" fillId="0" borderId="19" xfId="0" applyNumberFormat="1" applyBorder="1" applyAlignment="1" applyProtection="1">
      <alignment vertical="top"/>
      <protection locked="0"/>
    </xf>
    <xf numFmtId="166" fontId="0" fillId="0" borderId="36" xfId="0" applyNumberFormat="1" applyBorder="1" applyAlignment="1" applyProtection="1">
      <alignment vertical="top"/>
      <protection locked="0"/>
    </xf>
    <xf numFmtId="0" fontId="2" fillId="0" borderId="20" xfId="0" applyFont="1" applyBorder="1" applyAlignment="1">
      <alignment horizontal="center" vertical="center"/>
    </xf>
    <xf numFmtId="0" fontId="13" fillId="0" borderId="36" xfId="0" applyFont="1" applyBorder="1" applyAlignment="1">
      <alignment horizontal="left" vertical="top"/>
    </xf>
    <xf numFmtId="4" fontId="0" fillId="0" borderId="19" xfId="0" applyNumberFormat="1" applyBorder="1" applyAlignment="1" applyProtection="1">
      <alignment horizontal="right" vertical="top"/>
      <protection locked="0"/>
    </xf>
    <xf numFmtId="4" fontId="0" fillId="0" borderId="36" xfId="0" applyNumberFormat="1" applyBorder="1" applyAlignment="1" applyProtection="1">
      <alignment horizontal="right" vertical="top"/>
      <protection locked="0"/>
    </xf>
    <xf numFmtId="0" fontId="0" fillId="0" borderId="36" xfId="0" applyBorder="1" applyAlignment="1">
      <alignment horizontal="center" vertical="center"/>
    </xf>
    <xf numFmtId="166" fontId="0" fillId="0" borderId="19" xfId="0" applyNumberFormat="1" applyBorder="1" applyAlignment="1" applyProtection="1">
      <alignment horizontal="center" vertical="top"/>
      <protection locked="0"/>
    </xf>
    <xf numFmtId="166" fontId="0" fillId="0" borderId="36" xfId="0" applyNumberFormat="1" applyBorder="1" applyAlignment="1" applyProtection="1">
      <alignment horizontal="center" vertical="top"/>
      <protection locked="0"/>
    </xf>
    <xf numFmtId="166" fontId="0" fillId="0" borderId="36" xfId="0" applyNumberFormat="1" applyBorder="1" applyAlignment="1">
      <alignment horizontal="center" vertical="center"/>
    </xf>
    <xf numFmtId="0" fontId="0" fillId="0" borderId="36" xfId="0" applyBorder="1" applyAlignment="1" applyProtection="1">
      <alignment horizontal="center" vertical="top"/>
      <protection locked="0"/>
    </xf>
    <xf numFmtId="0" fontId="0" fillId="0" borderId="32" xfId="0" applyBorder="1" applyAlignment="1" applyProtection="1">
      <alignment horizontal="left" vertical="center"/>
      <protection locked="0"/>
    </xf>
    <xf numFmtId="0" fontId="0" fillId="0" borderId="50" xfId="0" applyBorder="1" applyAlignment="1" applyProtection="1">
      <alignment vertical="center"/>
      <protection locked="0"/>
    </xf>
    <xf numFmtId="166" fontId="0" fillId="0" borderId="32" xfId="0" applyNumberFormat="1" applyBorder="1" applyAlignment="1" applyProtection="1">
      <alignment horizontal="left" vertical="center"/>
      <protection locked="0"/>
    </xf>
    <xf numFmtId="0" fontId="0" fillId="0" borderId="36" xfId="0" applyBorder="1" applyAlignment="1">
      <alignment horizontal="center" vertical="center" wrapText="1"/>
    </xf>
    <xf numFmtId="4" fontId="0" fillId="0" borderId="19" xfId="0" applyNumberFormat="1" applyBorder="1" applyAlignment="1" applyProtection="1">
      <alignment horizontal="left" vertical="top"/>
      <protection locked="0"/>
    </xf>
    <xf numFmtId="0" fontId="0" fillId="0" borderId="36" xfId="0" applyBorder="1" applyAlignment="1">
      <alignment horizontal="right" vertical="center"/>
    </xf>
    <xf numFmtId="4" fontId="0" fillId="0" borderId="36" xfId="0" applyNumberFormat="1" applyBorder="1" applyAlignment="1">
      <alignment horizontal="center" vertical="center"/>
    </xf>
    <xf numFmtId="4" fontId="0" fillId="0" borderId="19" xfId="0" applyNumberFormat="1" applyBorder="1" applyAlignment="1">
      <alignment horizontal="center" vertical="center"/>
    </xf>
    <xf numFmtId="4" fontId="0" fillId="0" borderId="37" xfId="0" applyNumberFormat="1" applyBorder="1" applyAlignment="1">
      <alignment horizontal="center" vertical="center"/>
    </xf>
    <xf numFmtId="0" fontId="0" fillId="0" borderId="19" xfId="0" applyBorder="1" applyAlignment="1">
      <alignment horizontal="right" vertical="center"/>
    </xf>
    <xf numFmtId="1" fontId="0" fillId="0" borderId="36" xfId="0" applyNumberFormat="1" applyBorder="1" applyAlignment="1">
      <alignment horizontal="center" vertical="center"/>
    </xf>
    <xf numFmtId="0" fontId="0" fillId="0" borderId="0" xfId="0" applyAlignment="1" applyProtection="1">
      <alignment horizontal="left" vertical="top"/>
      <protection locked="0"/>
    </xf>
    <xf numFmtId="0" fontId="0" fillId="0" borderId="36" xfId="0" applyBorder="1" applyAlignment="1" applyProtection="1">
      <alignment horizontal="left"/>
      <protection locked="0"/>
    </xf>
    <xf numFmtId="0" fontId="0" fillId="0" borderId="36" xfId="0" applyBorder="1"/>
    <xf numFmtId="0" fontId="0" fillId="0" borderId="34" xfId="0" applyBorder="1"/>
    <xf numFmtId="0" fontId="2" fillId="0" borderId="0" xfId="0" applyFont="1" applyAlignment="1">
      <alignment horizontal="right"/>
    </xf>
    <xf numFmtId="0" fontId="0" fillId="0" borderId="36" xfId="0" applyBorder="1" applyAlignment="1">
      <alignment horizontal="left"/>
    </xf>
    <xf numFmtId="0" fontId="13" fillId="0" borderId="49"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59" xfId="0" applyFont="1" applyBorder="1" applyAlignment="1">
      <alignment horizontal="center" vertical="center" wrapText="1"/>
    </xf>
    <xf numFmtId="0" fontId="18" fillId="9" borderId="0" xfId="0" applyFont="1" applyFill="1" applyAlignment="1">
      <alignment horizontal="center" vertical="center"/>
    </xf>
    <xf numFmtId="9" fontId="0" fillId="0" borderId="36" xfId="0" applyNumberFormat="1" applyBorder="1" applyAlignment="1">
      <alignment horizontal="center" vertical="center"/>
    </xf>
    <xf numFmtId="9" fontId="0" fillId="0" borderId="36" xfId="2" applyFont="1" applyBorder="1" applyAlignment="1">
      <alignment horizontal="center" vertical="center"/>
    </xf>
    <xf numFmtId="10" fontId="0" fillId="0" borderId="36" xfId="2" applyNumberFormat="1" applyFont="1" applyBorder="1" applyAlignment="1">
      <alignment horizontal="center" vertical="center"/>
    </xf>
    <xf numFmtId="0" fontId="13" fillId="0" borderId="33" xfId="0" applyFont="1" applyBorder="1" applyAlignment="1">
      <alignment horizontal="left" vertical="top"/>
    </xf>
    <xf numFmtId="0" fontId="13" fillId="0" borderId="14" xfId="0" applyFont="1" applyBorder="1" applyAlignment="1">
      <alignment horizontal="left" vertical="top"/>
    </xf>
    <xf numFmtId="0" fontId="13" fillId="0" borderId="20" xfId="0" applyFont="1" applyBorder="1" applyAlignment="1">
      <alignment horizontal="center" vertical="center"/>
    </xf>
    <xf numFmtId="0" fontId="0" fillId="0" borderId="36" xfId="0" applyBorder="1" applyAlignment="1">
      <alignment horizontal="center"/>
    </xf>
    <xf numFmtId="0" fontId="13" fillId="0" borderId="0" xfId="0" applyFont="1" applyAlignment="1">
      <alignment horizontal="center" vertical="center"/>
    </xf>
    <xf numFmtId="0" fontId="15" fillId="2" borderId="15" xfId="0" applyFont="1" applyFill="1" applyBorder="1" applyAlignment="1" applyProtection="1">
      <alignment horizontal="center" vertical="center" wrapText="1"/>
      <protection locked="0"/>
    </xf>
    <xf numFmtId="0" fontId="13" fillId="0" borderId="0" xfId="0" applyFont="1" applyAlignment="1">
      <alignment horizontal="center" vertical="top"/>
    </xf>
    <xf numFmtId="0" fontId="0" fillId="0" borderId="0" xfId="0" applyAlignment="1">
      <alignment horizontal="center" vertical="top"/>
    </xf>
    <xf numFmtId="9" fontId="0" fillId="0" borderId="36" xfId="0" applyNumberFormat="1" applyBorder="1" applyAlignment="1">
      <alignment horizontal="center"/>
    </xf>
    <xf numFmtId="9" fontId="0" fillId="0" borderId="36" xfId="2" applyFont="1" applyBorder="1" applyAlignment="1">
      <alignment horizontal="center"/>
    </xf>
    <xf numFmtId="0" fontId="13" fillId="0" borderId="76" xfId="0" applyFont="1" applyBorder="1" applyAlignment="1">
      <alignment horizontal="left" vertical="top"/>
    </xf>
    <xf numFmtId="1" fontId="0" fillId="0" borderId="0" xfId="0" applyNumberFormat="1" applyAlignment="1">
      <alignment horizontal="center" vertical="top"/>
    </xf>
    <xf numFmtId="170" fontId="0" fillId="0" borderId="36" xfId="1" applyNumberFormat="1" applyFont="1" applyBorder="1" applyAlignment="1">
      <alignment horizontal="center" vertical="center"/>
    </xf>
    <xf numFmtId="0" fontId="0" fillId="4" borderId="36" xfId="0" applyFill="1" applyBorder="1" applyAlignment="1">
      <alignment horizontal="center"/>
    </xf>
    <xf numFmtId="0" fontId="2" fillId="0" borderId="0" xfId="0" applyFont="1" applyAlignment="1">
      <alignment horizontal="center" vertical="center" wrapText="1"/>
    </xf>
    <xf numFmtId="0" fontId="0" fillId="0" borderId="0" xfId="0" applyAlignment="1">
      <alignment horizontal="center" vertical="center" wrapText="1"/>
    </xf>
    <xf numFmtId="2" fontId="2" fillId="0" borderId="0" xfId="0" applyNumberFormat="1" applyFont="1" applyAlignment="1">
      <alignment horizontal="center"/>
    </xf>
    <xf numFmtId="0" fontId="21" fillId="0" borderId="19" xfId="3" applyBorder="1" applyProtection="1">
      <protection locked="0"/>
    </xf>
    <xf numFmtId="0" fontId="11" fillId="0" borderId="0" xfId="0" applyFont="1" applyAlignment="1">
      <alignment horizontal="center" vertical="center"/>
    </xf>
    <xf numFmtId="0" fontId="22" fillId="0" borderId="0" xfId="0" applyFont="1" applyAlignment="1">
      <alignment vertical="center"/>
    </xf>
    <xf numFmtId="10" fontId="23" fillId="0" borderId="0" xfId="0" applyNumberFormat="1" applyFont="1" applyAlignment="1">
      <alignment horizontal="center" vertical="center" wrapText="1"/>
    </xf>
    <xf numFmtId="9" fontId="23" fillId="0" borderId="0" xfId="0" applyNumberFormat="1" applyFont="1" applyAlignment="1">
      <alignment vertical="center" wrapText="1"/>
    </xf>
    <xf numFmtId="0" fontId="8" fillId="5" borderId="36" xfId="0" applyFont="1" applyFill="1" applyBorder="1" applyAlignment="1">
      <alignment horizontal="center" vertical="center" wrapText="1"/>
    </xf>
    <xf numFmtId="0" fontId="8" fillId="5" borderId="36" xfId="0" applyFont="1" applyFill="1" applyBorder="1" applyAlignment="1">
      <alignment horizontal="center"/>
    </xf>
    <xf numFmtId="0" fontId="0" fillId="0" borderId="19" xfId="0" applyBorder="1"/>
    <xf numFmtId="0" fontId="0" fillId="0" borderId="25" xfId="0" applyBorder="1" applyAlignment="1">
      <alignment horizontal="center"/>
    </xf>
    <xf numFmtId="9" fontId="0" fillId="0" borderId="25" xfId="0" applyNumberFormat="1" applyBorder="1" applyAlignment="1">
      <alignment horizontal="center"/>
    </xf>
    <xf numFmtId="9" fontId="0" fillId="0" borderId="35" xfId="0" applyNumberFormat="1" applyBorder="1" applyAlignment="1">
      <alignment horizontal="center"/>
    </xf>
    <xf numFmtId="171" fontId="0" fillId="0" borderId="25" xfId="0" applyNumberFormat="1" applyBorder="1" applyAlignment="1">
      <alignment horizontal="center"/>
    </xf>
    <xf numFmtId="0" fontId="0" fillId="0" borderId="20" xfId="0" applyBorder="1" applyAlignment="1">
      <alignment horizontal="center"/>
    </xf>
    <xf numFmtId="9" fontId="0" fillId="0" borderId="20" xfId="0" applyNumberFormat="1" applyBorder="1" applyAlignment="1">
      <alignment horizontal="center"/>
    </xf>
    <xf numFmtId="0" fontId="2" fillId="0" borderId="77" xfId="0" applyFont="1" applyBorder="1" applyAlignment="1">
      <alignment horizontal="center"/>
    </xf>
    <xf numFmtId="1" fontId="2" fillId="0" borderId="77" xfId="0" applyNumberFormat="1" applyFont="1" applyBorder="1" applyAlignment="1">
      <alignment horizontal="center"/>
    </xf>
    <xf numFmtId="0" fontId="2" fillId="10" borderId="78" xfId="0" applyFont="1" applyFill="1" applyBorder="1" applyAlignment="1">
      <alignment horizontal="center" vertical="center"/>
    </xf>
    <xf numFmtId="0" fontId="0" fillId="10" borderId="35" xfId="0" applyFill="1" applyBorder="1" applyAlignment="1">
      <alignment horizontal="center" vertical="center"/>
    </xf>
    <xf numFmtId="0" fontId="0" fillId="11" borderId="36" xfId="0" applyFill="1" applyBorder="1" applyAlignment="1">
      <alignment horizontal="center" vertical="center"/>
    </xf>
    <xf numFmtId="0" fontId="0" fillId="12" borderId="80" xfId="0" applyFill="1" applyBorder="1" applyAlignment="1">
      <alignment horizontal="center" vertical="center"/>
    </xf>
    <xf numFmtId="0" fontId="0" fillId="7" borderId="35" xfId="0" applyFill="1" applyBorder="1" applyAlignment="1">
      <alignment horizontal="center" vertical="center"/>
    </xf>
    <xf numFmtId="0" fontId="0" fillId="10" borderId="80" xfId="0" applyFill="1" applyBorder="1" applyAlignment="1">
      <alignment horizontal="center" vertical="center"/>
    </xf>
    <xf numFmtId="2" fontId="0" fillId="7" borderId="35" xfId="0" applyNumberFormat="1" applyFill="1" applyBorder="1" applyAlignment="1">
      <alignment horizontal="center" vertical="center"/>
    </xf>
    <xf numFmtId="2" fontId="0" fillId="11" borderId="36" xfId="0" applyNumberFormat="1" applyFill="1" applyBorder="1" applyAlignment="1">
      <alignment horizontal="center" vertical="center"/>
    </xf>
    <xf numFmtId="2" fontId="0" fillId="10" borderId="80" xfId="0" applyNumberFormat="1" applyFill="1" applyBorder="1" applyAlignment="1">
      <alignment horizontal="center" vertical="center"/>
    </xf>
    <xf numFmtId="0" fontId="2" fillId="16" borderId="15" xfId="0" applyFont="1" applyFill="1" applyBorder="1" applyAlignment="1">
      <alignment horizontal="center" vertical="center"/>
    </xf>
    <xf numFmtId="10" fontId="2" fillId="0" borderId="77" xfId="0" applyNumberFormat="1" applyFont="1" applyBorder="1" applyAlignment="1">
      <alignment horizontal="center"/>
    </xf>
    <xf numFmtId="0" fontId="8" fillId="12" borderId="79" xfId="0" applyFont="1" applyFill="1" applyBorder="1" applyAlignment="1">
      <alignment horizontal="center" vertical="center"/>
    </xf>
    <xf numFmtId="171" fontId="0" fillId="10" borderId="25" xfId="0" applyNumberFormat="1" applyFill="1" applyBorder="1" applyAlignment="1">
      <alignment horizontal="center"/>
    </xf>
    <xf numFmtId="9" fontId="2" fillId="0" borderId="77" xfId="0" applyNumberFormat="1" applyFont="1" applyBorder="1" applyAlignment="1">
      <alignment horizontal="center"/>
    </xf>
    <xf numFmtId="2" fontId="0" fillId="0" borderId="0" xfId="0" applyNumberFormat="1"/>
    <xf numFmtId="2" fontId="0" fillId="0" borderId="25" xfId="0" applyNumberFormat="1" applyBorder="1" applyAlignment="1">
      <alignment horizontal="center"/>
    </xf>
    <xf numFmtId="0" fontId="0" fillId="0" borderId="19" xfId="0" applyBorder="1" applyAlignment="1">
      <alignment horizontal="left" vertical="top"/>
    </xf>
    <xf numFmtId="0" fontId="0" fillId="0" borderId="36" xfId="0" applyBorder="1" applyProtection="1">
      <protection locked="0"/>
    </xf>
    <xf numFmtId="166" fontId="0" fillId="0" borderId="19" xfId="0" applyNumberFormat="1" applyBorder="1" applyAlignment="1">
      <alignment horizontal="left" vertical="top"/>
    </xf>
    <xf numFmtId="1" fontId="0" fillId="0" borderId="19" xfId="0" applyNumberFormat="1" applyBorder="1" applyAlignment="1">
      <alignment horizontal="left" vertical="top"/>
    </xf>
    <xf numFmtId="1" fontId="0" fillId="12" borderId="80" xfId="0" applyNumberFormat="1" applyFill="1" applyBorder="1" applyAlignment="1">
      <alignment horizontal="center" vertical="center"/>
    </xf>
    <xf numFmtId="0" fontId="0" fillId="0" borderId="19" xfId="0" applyBorder="1" applyAlignment="1">
      <alignment vertical="top"/>
    </xf>
    <xf numFmtId="0" fontId="2" fillId="11" borderId="27" xfId="0" applyFont="1" applyFill="1" applyBorder="1" applyAlignment="1">
      <alignment horizontal="center" vertical="center"/>
    </xf>
    <xf numFmtId="0" fontId="13" fillId="0" borderId="36" xfId="0" applyFont="1" applyBorder="1" applyAlignment="1">
      <alignment horizontal="left" vertical="center"/>
    </xf>
    <xf numFmtId="0" fontId="6" fillId="0" borderId="19" xfId="0" applyFont="1" applyBorder="1" applyAlignment="1">
      <alignment horizontal="left" vertical="center" wrapText="1"/>
    </xf>
    <xf numFmtId="0" fontId="6" fillId="0" borderId="15" xfId="0" applyFont="1" applyBorder="1" applyAlignment="1">
      <alignment horizontal="left" vertical="center" wrapText="1"/>
    </xf>
    <xf numFmtId="0" fontId="6" fillId="0" borderId="20" xfId="0" applyFont="1" applyBorder="1" applyAlignment="1">
      <alignment horizontal="left" vertical="center" wrapText="1"/>
    </xf>
    <xf numFmtId="0" fontId="2" fillId="4" borderId="19" xfId="0" applyFont="1" applyFill="1" applyBorder="1" applyAlignment="1">
      <alignment horizontal="center" vertical="center"/>
    </xf>
    <xf numFmtId="0" fontId="2" fillId="4" borderId="15" xfId="0" applyFont="1" applyFill="1" applyBorder="1" applyAlignment="1">
      <alignment horizontal="center" vertical="center"/>
    </xf>
    <xf numFmtId="0" fontId="2" fillId="4" borderId="20" xfId="0" applyFont="1" applyFill="1" applyBorder="1" applyAlignment="1">
      <alignment horizontal="center" vertical="center"/>
    </xf>
    <xf numFmtId="0" fontId="6" fillId="0" borderId="19" xfId="0" applyFont="1" applyBorder="1" applyAlignment="1">
      <alignment horizontal="left" wrapText="1"/>
    </xf>
    <xf numFmtId="0" fontId="6" fillId="0" borderId="15" xfId="0" applyFont="1" applyBorder="1" applyAlignment="1">
      <alignment horizontal="left" wrapText="1"/>
    </xf>
    <xf numFmtId="0" fontId="6" fillId="0" borderId="20" xfId="0" applyFont="1" applyBorder="1" applyAlignment="1">
      <alignment horizontal="left" wrapText="1"/>
    </xf>
    <xf numFmtId="0" fontId="6" fillId="0" borderId="36" xfId="0" applyFont="1" applyBorder="1" applyAlignment="1">
      <alignment horizontal="left" wrapText="1"/>
    </xf>
    <xf numFmtId="0" fontId="0" fillId="0" borderId="51" xfId="0" applyBorder="1" applyAlignment="1" applyProtection="1">
      <alignment horizontal="left" vertical="top"/>
      <protection locked="0"/>
    </xf>
    <xf numFmtId="0" fontId="0" fillId="0" borderId="58" xfId="0" applyBorder="1" applyAlignment="1" applyProtection="1">
      <alignment horizontal="left" vertical="top"/>
      <protection locked="0"/>
    </xf>
    <xf numFmtId="0" fontId="0" fillId="0" borderId="65" xfId="0" applyBorder="1" applyAlignment="1" applyProtection="1">
      <alignment horizontal="left" vertical="top"/>
      <protection locked="0"/>
    </xf>
    <xf numFmtId="0" fontId="6" fillId="0" borderId="19" xfId="0" applyFont="1" applyBorder="1" applyAlignment="1">
      <alignment vertical="center" wrapText="1"/>
    </xf>
    <xf numFmtId="0" fontId="6" fillId="0" borderId="15" xfId="0" applyFont="1" applyBorder="1" applyAlignment="1">
      <alignment vertical="center" wrapText="1"/>
    </xf>
    <xf numFmtId="0" fontId="6" fillId="0" borderId="20" xfId="0" applyFont="1" applyBorder="1" applyAlignment="1">
      <alignment vertical="center" wrapText="1"/>
    </xf>
    <xf numFmtId="0" fontId="18" fillId="4" borderId="19" xfId="0" applyFont="1" applyFill="1" applyBorder="1" applyAlignment="1">
      <alignment horizontal="center" vertical="center"/>
    </xf>
    <xf numFmtId="0" fontId="18" fillId="4" borderId="15" xfId="0" applyFont="1" applyFill="1" applyBorder="1" applyAlignment="1">
      <alignment horizontal="center" vertical="center"/>
    </xf>
    <xf numFmtId="0" fontId="18" fillId="4" borderId="20" xfId="0" applyFont="1" applyFill="1" applyBorder="1" applyAlignment="1">
      <alignment horizontal="center" vertical="center"/>
    </xf>
    <xf numFmtId="0" fontId="13" fillId="0" borderId="68" xfId="0" applyFont="1" applyBorder="1" applyAlignment="1">
      <alignment horizontal="left" vertical="top"/>
    </xf>
    <xf numFmtId="0" fontId="13" fillId="0" borderId="64" xfId="0" applyFont="1" applyBorder="1" applyAlignment="1">
      <alignment horizontal="left" vertical="top"/>
    </xf>
    <xf numFmtId="0" fontId="8" fillId="4" borderId="19" xfId="0" applyFont="1" applyFill="1" applyBorder="1" applyAlignment="1">
      <alignment horizontal="center" vertical="center"/>
    </xf>
    <xf numFmtId="0" fontId="8" fillId="4" borderId="15" xfId="0" applyFont="1" applyFill="1" applyBorder="1" applyAlignment="1">
      <alignment horizontal="center" vertical="center"/>
    </xf>
    <xf numFmtId="0" fontId="8" fillId="4" borderId="20" xfId="0" applyFont="1" applyFill="1" applyBorder="1" applyAlignment="1">
      <alignment horizontal="center" vertical="center"/>
    </xf>
    <xf numFmtId="0" fontId="2" fillId="0" borderId="19" xfId="0" applyFont="1" applyBorder="1" applyAlignment="1">
      <alignment horizontal="left" vertical="center"/>
    </xf>
    <xf numFmtId="0" fontId="2" fillId="0" borderId="20" xfId="0" applyFont="1" applyBorder="1" applyAlignment="1">
      <alignment horizontal="left" vertical="center"/>
    </xf>
    <xf numFmtId="0" fontId="13" fillId="0" borderId="51" xfId="0" applyFont="1" applyBorder="1" applyAlignment="1">
      <alignment horizontal="left" vertical="top"/>
    </xf>
    <xf numFmtId="0" fontId="13" fillId="0" borderId="65" xfId="0" applyFont="1" applyBorder="1" applyAlignment="1">
      <alignment horizontal="left" vertical="top"/>
    </xf>
    <xf numFmtId="0" fontId="13" fillId="0" borderId="53" xfId="0" applyFont="1" applyBorder="1" applyAlignment="1">
      <alignment horizontal="left" vertical="top"/>
    </xf>
    <xf numFmtId="0" fontId="13" fillId="0" borderId="67" xfId="0" applyFont="1" applyBorder="1" applyAlignment="1">
      <alignment horizontal="left" vertical="top"/>
    </xf>
    <xf numFmtId="0" fontId="0" fillId="0" borderId="53" xfId="0" applyBorder="1" applyAlignment="1" applyProtection="1">
      <alignment horizontal="left" vertical="top"/>
      <protection locked="0"/>
    </xf>
    <xf numFmtId="0" fontId="0" fillId="0" borderId="74" xfId="0" applyBorder="1" applyAlignment="1" applyProtection="1">
      <alignment horizontal="left" vertical="top"/>
      <protection locked="0"/>
    </xf>
    <xf numFmtId="0" fontId="0" fillId="0" borderId="67" xfId="0" applyBorder="1" applyAlignment="1" applyProtection="1">
      <alignment horizontal="left" vertical="top"/>
      <protection locked="0"/>
    </xf>
    <xf numFmtId="0" fontId="13" fillId="0" borderId="49" xfId="0" applyFont="1" applyBorder="1" applyAlignment="1">
      <alignment horizontal="center" vertical="center" wrapText="1"/>
    </xf>
    <xf numFmtId="0" fontId="13" fillId="0" borderId="60"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56" xfId="0" applyFont="1" applyBorder="1" applyAlignment="1">
      <alignment horizontal="center" vertical="center" wrapText="1"/>
    </xf>
    <xf numFmtId="0" fontId="13" fillId="0" borderId="57" xfId="0" applyFont="1" applyBorder="1" applyAlignment="1">
      <alignment horizontal="center" vertical="center" wrapText="1"/>
    </xf>
    <xf numFmtId="0" fontId="0" fillId="0" borderId="48" xfId="0" applyBorder="1" applyAlignment="1" applyProtection="1">
      <alignment horizontal="left" vertical="center"/>
      <protection locked="0"/>
    </xf>
    <xf numFmtId="0" fontId="0" fillId="0" borderId="56" xfId="0" applyBorder="1" applyAlignment="1" applyProtection="1">
      <alignment horizontal="left" vertical="center"/>
      <protection locked="0"/>
    </xf>
    <xf numFmtId="0" fontId="0" fillId="0" borderId="57" xfId="0" applyBorder="1" applyAlignment="1" applyProtection="1">
      <alignment horizontal="left" vertical="center"/>
      <protection locked="0"/>
    </xf>
    <xf numFmtId="0" fontId="0" fillId="0" borderId="66" xfId="0" applyBorder="1" applyAlignment="1" applyProtection="1">
      <alignment horizontal="left" vertical="top"/>
      <protection locked="0"/>
    </xf>
    <xf numFmtId="0" fontId="0" fillId="0" borderId="63" xfId="0" applyBorder="1" applyAlignment="1" applyProtection="1">
      <alignment horizontal="left" vertical="center"/>
      <protection locked="0"/>
    </xf>
    <xf numFmtId="0" fontId="0" fillId="0" borderId="69" xfId="0" applyBorder="1" applyAlignment="1" applyProtection="1">
      <alignment horizontal="left" vertical="center"/>
      <protection locked="0"/>
    </xf>
    <xf numFmtId="0" fontId="0" fillId="0" borderId="70" xfId="0" applyBorder="1" applyAlignment="1" applyProtection="1">
      <alignment horizontal="left" vertical="center"/>
      <protection locked="0"/>
    </xf>
    <xf numFmtId="0" fontId="14" fillId="0" borderId="49" xfId="0" applyFont="1" applyBorder="1" applyAlignment="1">
      <alignment horizontal="justify" vertical="center" wrapText="1"/>
    </xf>
    <xf numFmtId="0" fontId="14" fillId="0" borderId="60" xfId="0" applyFont="1" applyBorder="1" applyAlignment="1">
      <alignment horizontal="justify" vertical="center" wrapText="1"/>
    </xf>
    <xf numFmtId="0" fontId="14" fillId="0" borderId="62" xfId="0" applyFont="1" applyBorder="1" applyAlignment="1">
      <alignment horizontal="justify" vertical="center" wrapText="1"/>
    </xf>
    <xf numFmtId="0" fontId="14" fillId="0" borderId="0" xfId="0" applyFont="1" applyAlignment="1">
      <alignment horizontal="justify" vertical="center" wrapText="1"/>
    </xf>
    <xf numFmtId="0" fontId="13" fillId="6" borderId="49" xfId="0" applyFont="1" applyFill="1" applyBorder="1" applyAlignment="1">
      <alignment horizontal="center" vertical="top"/>
    </xf>
    <xf numFmtId="0" fontId="13" fillId="6" borderId="60" xfId="0" applyFont="1" applyFill="1" applyBorder="1" applyAlignment="1">
      <alignment horizontal="center" vertical="top"/>
    </xf>
    <xf numFmtId="0" fontId="13" fillId="6" borderId="71" xfId="0" applyFont="1" applyFill="1" applyBorder="1" applyAlignment="1">
      <alignment horizontal="center" vertical="top"/>
    </xf>
    <xf numFmtId="0" fontId="13" fillId="0" borderId="55" xfId="0" applyFont="1" applyBorder="1" applyAlignment="1">
      <alignment horizontal="center" vertical="center"/>
    </xf>
    <xf numFmtId="0" fontId="13" fillId="0" borderId="18" xfId="0" applyFont="1" applyBorder="1" applyAlignment="1">
      <alignment horizontal="center" vertical="center"/>
    </xf>
    <xf numFmtId="0" fontId="13" fillId="0" borderId="48" xfId="0" applyFont="1" applyBorder="1" applyAlignment="1">
      <alignment horizontal="center" vertical="center"/>
    </xf>
    <xf numFmtId="0" fontId="13" fillId="0" borderId="56" xfId="0" applyFont="1" applyBorder="1" applyAlignment="1">
      <alignment horizontal="center" vertical="center"/>
    </xf>
    <xf numFmtId="0" fontId="13" fillId="0" borderId="45" xfId="0" applyFont="1" applyBorder="1" applyAlignment="1">
      <alignment horizontal="center" vertical="center" wrapText="1"/>
    </xf>
    <xf numFmtId="0" fontId="13" fillId="0" borderId="59" xfId="0" applyFont="1" applyBorder="1" applyAlignment="1">
      <alignment horizontal="center" vertical="center" wrapText="1"/>
    </xf>
    <xf numFmtId="0" fontId="0" fillId="0" borderId="45" xfId="0" applyBorder="1" applyAlignment="1" applyProtection="1">
      <alignment horizontal="left" vertical="top"/>
      <protection locked="0"/>
    </xf>
    <xf numFmtId="0" fontId="21" fillId="0" borderId="45" xfId="3" applyBorder="1" applyAlignment="1" applyProtection="1">
      <alignment horizontal="left" vertical="top"/>
      <protection locked="0"/>
    </xf>
    <xf numFmtId="0" fontId="13" fillId="6" borderId="32" xfId="0" applyFont="1" applyFill="1" applyBorder="1" applyAlignment="1">
      <alignment horizontal="center" vertical="top"/>
    </xf>
    <xf numFmtId="0" fontId="13" fillId="6" borderId="18" xfId="0" applyFont="1" applyFill="1" applyBorder="1" applyAlignment="1">
      <alignment horizontal="center" vertical="top"/>
    </xf>
    <xf numFmtId="0" fontId="13" fillId="6" borderId="69" xfId="0" applyFont="1" applyFill="1" applyBorder="1" applyAlignment="1">
      <alignment horizontal="center" vertical="top"/>
    </xf>
    <xf numFmtId="0" fontId="13" fillId="6" borderId="64" xfId="0" applyFont="1" applyFill="1" applyBorder="1" applyAlignment="1">
      <alignment horizontal="center" vertical="top"/>
    </xf>
    <xf numFmtId="0" fontId="13" fillId="6" borderId="19" xfId="0" applyFont="1" applyFill="1" applyBorder="1" applyAlignment="1">
      <alignment horizontal="center" vertical="top"/>
    </xf>
    <xf numFmtId="0" fontId="13" fillId="6" borderId="15" xfId="0" applyFont="1" applyFill="1" applyBorder="1" applyAlignment="1">
      <alignment horizontal="center" vertical="top"/>
    </xf>
    <xf numFmtId="0" fontId="13" fillId="6" borderId="20" xfId="0" applyFont="1" applyFill="1" applyBorder="1" applyAlignment="1">
      <alignment horizontal="center" vertical="top"/>
    </xf>
    <xf numFmtId="0" fontId="13" fillId="0" borderId="51" xfId="0" applyFont="1" applyBorder="1" applyAlignment="1">
      <alignment horizontal="left" vertical="center"/>
    </xf>
    <xf numFmtId="0" fontId="13" fillId="0" borderId="65" xfId="0" applyFont="1" applyBorder="1" applyAlignment="1">
      <alignment horizontal="left" vertical="center"/>
    </xf>
    <xf numFmtId="0" fontId="14" fillId="0" borderId="55" xfId="0" applyFont="1" applyBorder="1" applyAlignment="1">
      <alignment horizontal="justify" vertical="center" wrapText="1"/>
    </xf>
    <xf numFmtId="0" fontId="14" fillId="0" borderId="18" xfId="0" applyFont="1" applyBorder="1" applyAlignment="1">
      <alignment horizontal="justify" vertical="center" wrapText="1"/>
    </xf>
    <xf numFmtId="0" fontId="14" fillId="0" borderId="32" xfId="0" applyFont="1" applyBorder="1" applyAlignment="1">
      <alignment horizontal="justify" vertical="center" wrapText="1"/>
    </xf>
    <xf numFmtId="0" fontId="14" fillId="0" borderId="31" xfId="0" applyFont="1" applyBorder="1" applyAlignment="1">
      <alignment horizontal="justify" vertical="center" wrapText="1"/>
    </xf>
    <xf numFmtId="0" fontId="14" fillId="0" borderId="61" xfId="0" applyFont="1" applyBorder="1" applyAlignment="1">
      <alignment horizontal="justify" vertical="center" wrapText="1"/>
    </xf>
    <xf numFmtId="0" fontId="14" fillId="0" borderId="52" xfId="0" applyFont="1" applyBorder="1" applyAlignment="1">
      <alignment horizontal="justify" vertical="center" wrapText="1"/>
    </xf>
    <xf numFmtId="0" fontId="0" fillId="0" borderId="19" xfId="0" applyBorder="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0" fillId="0" borderId="20" xfId="0" applyBorder="1" applyAlignment="1" applyProtection="1">
      <alignment horizontal="left" vertical="center" wrapText="1"/>
      <protection locked="0"/>
    </xf>
    <xf numFmtId="0" fontId="13" fillId="6" borderId="36" xfId="0" applyFont="1" applyFill="1" applyBorder="1" applyAlignment="1">
      <alignment horizontal="center" vertical="top"/>
    </xf>
    <xf numFmtId="0" fontId="13" fillId="0" borderId="62" xfId="0" applyFont="1" applyBorder="1" applyAlignment="1">
      <alignment horizontal="center" vertical="center" wrapText="1"/>
    </xf>
    <xf numFmtId="0" fontId="13" fillId="0" borderId="0" xfId="0" applyFont="1" applyAlignment="1">
      <alignment horizontal="center" vertical="center" wrapText="1"/>
    </xf>
    <xf numFmtId="0" fontId="13" fillId="0" borderId="19" xfId="0" applyFont="1" applyBorder="1" applyAlignment="1">
      <alignment horizontal="center" vertical="center" wrapText="1"/>
    </xf>
    <xf numFmtId="0" fontId="13" fillId="0" borderId="20" xfId="0" applyFont="1" applyBorder="1" applyAlignment="1">
      <alignment horizontal="center" vertical="center" wrapText="1"/>
    </xf>
    <xf numFmtId="0" fontId="15" fillId="2" borderId="19" xfId="0" applyFont="1" applyFill="1" applyBorder="1" applyAlignment="1" applyProtection="1">
      <alignment horizontal="center" vertical="center" wrapText="1"/>
      <protection locked="0"/>
    </xf>
    <xf numFmtId="0" fontId="15" fillId="2" borderId="20" xfId="0" applyFont="1" applyFill="1" applyBorder="1" applyAlignment="1" applyProtection="1">
      <alignment horizontal="center" vertical="center" wrapText="1"/>
      <protection locked="0"/>
    </xf>
    <xf numFmtId="0" fontId="15" fillId="2" borderId="32" xfId="0" applyFont="1" applyFill="1" applyBorder="1" applyAlignment="1" applyProtection="1">
      <alignment horizontal="center" vertical="center" wrapText="1"/>
      <protection locked="0"/>
    </xf>
    <xf numFmtId="0" fontId="15" fillId="2" borderId="31" xfId="0" applyFont="1" applyFill="1" applyBorder="1" applyAlignment="1" applyProtection="1">
      <alignment horizontal="center" vertical="center" wrapText="1"/>
      <protection locked="0"/>
    </xf>
    <xf numFmtId="0" fontId="13" fillId="6" borderId="33" xfId="0" applyFont="1" applyFill="1" applyBorder="1" applyAlignment="1">
      <alignment horizontal="center" vertical="top"/>
    </xf>
    <xf numFmtId="0" fontId="13" fillId="6" borderId="14" xfId="0" applyFont="1" applyFill="1" applyBorder="1" applyAlignment="1">
      <alignment horizontal="center" vertical="top"/>
    </xf>
    <xf numFmtId="0" fontId="13" fillId="6" borderId="25" xfId="0" applyFont="1" applyFill="1" applyBorder="1" applyAlignment="1">
      <alignment horizontal="center" vertical="top"/>
    </xf>
    <xf numFmtId="0" fontId="13" fillId="0" borderId="36" xfId="0" applyFont="1" applyBorder="1" applyAlignment="1">
      <alignment horizontal="left" vertical="top"/>
    </xf>
    <xf numFmtId="0" fontId="13" fillId="0" borderId="59" xfId="0" applyFont="1" applyBorder="1" applyAlignment="1">
      <alignment horizontal="left" vertical="center"/>
    </xf>
    <xf numFmtId="0" fontId="13" fillId="0" borderId="19" xfId="0" applyFont="1" applyBorder="1" applyAlignment="1">
      <alignment horizontal="left" vertical="top"/>
    </xf>
    <xf numFmtId="0" fontId="13" fillId="0" borderId="20" xfId="0" applyFont="1" applyBorder="1" applyAlignment="1">
      <alignment horizontal="left" vertical="top"/>
    </xf>
    <xf numFmtId="0" fontId="19" fillId="6" borderId="36" xfId="0" applyFont="1" applyFill="1" applyBorder="1" applyAlignment="1">
      <alignment horizontal="center" vertical="top"/>
    </xf>
    <xf numFmtId="0" fontId="13" fillId="0" borderId="72" xfId="0" applyFont="1" applyBorder="1" applyAlignment="1">
      <alignment horizontal="left" vertical="top"/>
    </xf>
    <xf numFmtId="0" fontId="13" fillId="0" borderId="73" xfId="0" applyFont="1" applyBorder="1" applyAlignment="1">
      <alignment horizontal="left" vertical="top"/>
    </xf>
    <xf numFmtId="0" fontId="13" fillId="0" borderId="59" xfId="0" applyFont="1" applyBorder="1" applyAlignment="1">
      <alignment horizontal="left" vertical="top"/>
    </xf>
    <xf numFmtId="0" fontId="13" fillId="6" borderId="35" xfId="0" applyFont="1" applyFill="1" applyBorder="1" applyAlignment="1">
      <alignment horizontal="center" vertical="top"/>
    </xf>
    <xf numFmtId="0" fontId="13" fillId="0" borderId="32" xfId="0" applyFont="1" applyBorder="1" applyAlignment="1">
      <alignment horizontal="left" vertical="top"/>
    </xf>
    <xf numFmtId="0" fontId="13" fillId="0" borderId="31" xfId="0" applyFont="1" applyBorder="1" applyAlignment="1">
      <alignment horizontal="left" vertical="top"/>
    </xf>
    <xf numFmtId="0" fontId="0" fillId="0" borderId="19" xfId="0" applyBorder="1" applyAlignment="1" applyProtection="1">
      <alignment horizontal="left" vertical="center"/>
      <protection locked="0"/>
    </xf>
    <xf numFmtId="0" fontId="0" fillId="0" borderId="15" xfId="0" applyBorder="1" applyAlignment="1" applyProtection="1">
      <alignment horizontal="left" vertical="center"/>
      <protection locked="0"/>
    </xf>
    <xf numFmtId="0" fontId="0" fillId="0" borderId="20" xfId="0" applyBorder="1" applyAlignment="1" applyProtection="1">
      <alignment horizontal="left" vertical="center"/>
      <protection locked="0"/>
    </xf>
    <xf numFmtId="0" fontId="0" fillId="0" borderId="19" xfId="0" applyBorder="1" applyAlignment="1" applyProtection="1">
      <alignment horizontal="left" vertical="top"/>
      <protection locked="0"/>
    </xf>
    <xf numFmtId="0" fontId="0" fillId="0" borderId="15" xfId="0" applyBorder="1" applyAlignment="1" applyProtection="1">
      <alignment horizontal="left" vertical="top"/>
      <protection locked="0"/>
    </xf>
    <xf numFmtId="0" fontId="0" fillId="0" borderId="20" xfId="0" applyBorder="1" applyAlignment="1" applyProtection="1">
      <alignment horizontal="left" vertical="top"/>
      <protection locked="0"/>
    </xf>
    <xf numFmtId="0" fontId="2" fillId="4" borderId="32" xfId="0" applyFont="1" applyFill="1" applyBorder="1" applyAlignment="1">
      <alignment horizontal="center" vertical="center"/>
    </xf>
    <xf numFmtId="0" fontId="0" fillId="0" borderId="44" xfId="0" applyBorder="1" applyAlignment="1" applyProtection="1">
      <alignment horizontal="left" vertical="center"/>
      <protection locked="0"/>
    </xf>
    <xf numFmtId="0" fontId="0" fillId="0" borderId="58" xfId="0" applyBorder="1" applyAlignment="1" applyProtection="1">
      <alignment horizontal="left" vertical="center"/>
      <protection locked="0"/>
    </xf>
    <xf numFmtId="0" fontId="0" fillId="0" borderId="65" xfId="0" applyBorder="1" applyAlignment="1" applyProtection="1">
      <alignment horizontal="left" vertical="center"/>
      <protection locked="0"/>
    </xf>
    <xf numFmtId="0" fontId="8" fillId="4" borderId="32" xfId="0" applyFont="1" applyFill="1" applyBorder="1" applyAlignment="1">
      <alignment horizontal="center" vertical="center"/>
    </xf>
    <xf numFmtId="0" fontId="18" fillId="7" borderId="36" xfId="0" applyFont="1" applyFill="1" applyBorder="1" applyAlignment="1">
      <alignment horizontal="center" wrapText="1"/>
    </xf>
    <xf numFmtId="0" fontId="13" fillId="0" borderId="55" xfId="0" applyFont="1" applyBorder="1" applyAlignment="1">
      <alignment horizontal="left" vertical="top"/>
    </xf>
    <xf numFmtId="0" fontId="13" fillId="0" borderId="75" xfId="0" applyFont="1" applyBorder="1" applyAlignment="1">
      <alignment horizontal="left" vertical="top"/>
    </xf>
    <xf numFmtId="0" fontId="18" fillId="9" borderId="33" xfId="0" applyFont="1" applyFill="1" applyBorder="1" applyAlignment="1">
      <alignment horizontal="center" vertical="center"/>
    </xf>
    <xf numFmtId="0" fontId="18" fillId="9" borderId="14" xfId="0" applyFont="1" applyFill="1" applyBorder="1" applyAlignment="1">
      <alignment horizontal="center" vertical="center"/>
    </xf>
    <xf numFmtId="0" fontId="20" fillId="7" borderId="19" xfId="0" applyFont="1" applyFill="1" applyBorder="1" applyAlignment="1">
      <alignment horizontal="center" wrapText="1"/>
    </xf>
    <xf numFmtId="0" fontId="20" fillId="7" borderId="15" xfId="0" applyFont="1" applyFill="1" applyBorder="1" applyAlignment="1">
      <alignment horizontal="center" wrapText="1"/>
    </xf>
    <xf numFmtId="0" fontId="20" fillId="7" borderId="20" xfId="0" applyFont="1" applyFill="1" applyBorder="1" applyAlignment="1">
      <alignment horizontal="center" wrapText="1"/>
    </xf>
    <xf numFmtId="0" fontId="13" fillId="6" borderId="45" xfId="0" applyFont="1" applyFill="1" applyBorder="1" applyAlignment="1">
      <alignment horizontal="center" vertical="top"/>
    </xf>
    <xf numFmtId="0" fontId="13" fillId="6" borderId="58" xfId="0" applyFont="1" applyFill="1" applyBorder="1" applyAlignment="1">
      <alignment horizontal="center" vertical="top"/>
    </xf>
    <xf numFmtId="0" fontId="13" fillId="6" borderId="59" xfId="0" applyFont="1" applyFill="1" applyBorder="1" applyAlignment="1">
      <alignment horizontal="center" vertical="top"/>
    </xf>
    <xf numFmtId="0" fontId="13" fillId="0" borderId="36" xfId="0" applyFont="1" applyBorder="1" applyAlignment="1">
      <alignment horizontal="center" vertical="center" wrapText="1"/>
    </xf>
    <xf numFmtId="0" fontId="18" fillId="7" borderId="36" xfId="0" applyFont="1" applyFill="1" applyBorder="1" applyAlignment="1">
      <alignment horizontal="center" vertical="center" wrapText="1"/>
    </xf>
    <xf numFmtId="9" fontId="0" fillId="8" borderId="36" xfId="0" applyNumberFormat="1" applyFill="1" applyBorder="1" applyAlignment="1">
      <alignment horizontal="center" vertical="center" wrapText="1"/>
    </xf>
    <xf numFmtId="0" fontId="20" fillId="7" borderId="36" xfId="0" applyFont="1" applyFill="1" applyBorder="1" applyAlignment="1">
      <alignment horizontal="center" wrapText="1"/>
    </xf>
    <xf numFmtId="0" fontId="2" fillId="13" borderId="15" xfId="0" applyFont="1" applyFill="1" applyBorder="1" applyAlignment="1">
      <alignment horizontal="center" vertical="center"/>
    </xf>
    <xf numFmtId="0" fontId="2" fillId="13" borderId="20" xfId="0" applyFont="1" applyFill="1" applyBorder="1" applyAlignment="1">
      <alignment horizontal="center" vertical="center"/>
    </xf>
    <xf numFmtId="0" fontId="2" fillId="14" borderId="15" xfId="0" applyFont="1" applyFill="1" applyBorder="1" applyAlignment="1">
      <alignment horizontal="center" vertical="center"/>
    </xf>
    <xf numFmtId="0" fontId="2" fillId="14" borderId="20" xfId="0" applyFont="1" applyFill="1" applyBorder="1" applyAlignment="1">
      <alignment horizontal="center" vertical="center"/>
    </xf>
    <xf numFmtId="0" fontId="2" fillId="15" borderId="15" xfId="0" applyFont="1" applyFill="1" applyBorder="1" applyAlignment="1">
      <alignment horizontal="center" vertical="center"/>
    </xf>
    <xf numFmtId="0" fontId="2" fillId="15" borderId="20" xfId="0" applyFont="1" applyFill="1" applyBorder="1" applyAlignment="1">
      <alignment horizontal="center" vertical="center"/>
    </xf>
    <xf numFmtId="0" fontId="2" fillId="16" borderId="15" xfId="0" applyFont="1" applyFill="1" applyBorder="1" applyAlignment="1">
      <alignment horizontal="center" vertical="center"/>
    </xf>
    <xf numFmtId="0" fontId="2" fillId="16" borderId="20" xfId="0" applyFont="1" applyFill="1" applyBorder="1" applyAlignment="1">
      <alignment horizontal="center" vertical="center"/>
    </xf>
    <xf numFmtId="0" fontId="2" fillId="17" borderId="15" xfId="0" applyFont="1" applyFill="1" applyBorder="1" applyAlignment="1">
      <alignment horizontal="center" vertical="center"/>
    </xf>
    <xf numFmtId="0" fontId="2" fillId="17" borderId="20" xfId="0" applyFont="1" applyFill="1" applyBorder="1" applyAlignment="1">
      <alignment horizontal="center" vertical="center"/>
    </xf>
    <xf numFmtId="0" fontId="11" fillId="5" borderId="82" xfId="0" applyFont="1" applyFill="1" applyBorder="1" applyAlignment="1">
      <alignment horizontal="center" vertical="center"/>
    </xf>
    <xf numFmtId="0" fontId="11" fillId="5" borderId="23" xfId="0" applyFont="1" applyFill="1" applyBorder="1" applyAlignment="1">
      <alignment horizontal="center" vertical="center"/>
    </xf>
    <xf numFmtId="1" fontId="23" fillId="8" borderId="39" xfId="0" applyNumberFormat="1" applyFont="1" applyFill="1" applyBorder="1" applyAlignment="1">
      <alignment horizontal="center" vertical="center" wrapText="1"/>
    </xf>
    <xf numFmtId="1" fontId="23" fillId="8" borderId="41" xfId="0" applyNumberFormat="1" applyFont="1" applyFill="1" applyBorder="1" applyAlignment="1">
      <alignment horizontal="center" vertical="center" wrapText="1"/>
    </xf>
    <xf numFmtId="0" fontId="11" fillId="5" borderId="21" xfId="0" applyFont="1" applyFill="1" applyBorder="1" applyAlignment="1">
      <alignment horizontal="center" vertical="center"/>
    </xf>
    <xf numFmtId="0" fontId="11" fillId="5" borderId="81" xfId="0" applyFont="1" applyFill="1" applyBorder="1" applyAlignment="1">
      <alignment horizontal="center" vertical="center"/>
    </xf>
    <xf numFmtId="0" fontId="23" fillId="8" borderId="42" xfId="0" applyFont="1" applyFill="1" applyBorder="1" applyAlignment="1">
      <alignment horizontal="center" vertical="center" wrapText="1"/>
    </xf>
    <xf numFmtId="0" fontId="23" fillId="8" borderId="43" xfId="0" applyFont="1" applyFill="1" applyBorder="1" applyAlignment="1">
      <alignment horizontal="center" vertical="center" wrapText="1"/>
    </xf>
    <xf numFmtId="0" fontId="8" fillId="5" borderId="36" xfId="0" applyFont="1" applyFill="1" applyBorder="1" applyAlignment="1">
      <alignment horizontal="center" vertical="center"/>
    </xf>
    <xf numFmtId="0" fontId="2" fillId="0" borderId="0" xfId="0" applyFont="1" applyAlignment="1">
      <alignment horizontal="right"/>
    </xf>
    <xf numFmtId="0" fontId="2" fillId="5" borderId="19"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20" xfId="0" applyFont="1" applyFill="1" applyBorder="1" applyAlignment="1">
      <alignment horizontal="center" vertical="center"/>
    </xf>
    <xf numFmtId="0" fontId="6" fillId="0" borderId="0" xfId="0" applyFont="1" applyAlignment="1">
      <alignment horizontal="justify" vertical="center" wrapText="1"/>
    </xf>
    <xf numFmtId="0" fontId="2" fillId="5" borderId="27" xfId="0" applyFont="1" applyFill="1" applyBorder="1" applyAlignment="1">
      <alignment horizontal="center" vertical="center"/>
    </xf>
    <xf numFmtId="0" fontId="2" fillId="5" borderId="26" xfId="0" applyFont="1" applyFill="1" applyBorder="1" applyAlignment="1">
      <alignment horizontal="center" vertical="center"/>
    </xf>
    <xf numFmtId="0" fontId="4" fillId="0" borderId="39" xfId="0" applyFont="1" applyBorder="1" applyAlignment="1">
      <alignment horizontal="center" vertical="center"/>
    </xf>
    <xf numFmtId="0" fontId="4" fillId="0" borderId="40" xfId="0" applyFont="1" applyBorder="1" applyAlignment="1">
      <alignment horizontal="center" vertical="center"/>
    </xf>
    <xf numFmtId="0" fontId="4" fillId="0" borderId="41" xfId="0" applyFont="1" applyBorder="1" applyAlignment="1">
      <alignment horizontal="center" vertical="center"/>
    </xf>
    <xf numFmtId="0" fontId="0" fillId="0" borderId="42" xfId="0" applyBorder="1" applyAlignment="1">
      <alignment horizontal="center"/>
    </xf>
    <xf numFmtId="0" fontId="0" fillId="0" borderId="41" xfId="0" applyBorder="1" applyAlignment="1">
      <alignment horizontal="center"/>
    </xf>
    <xf numFmtId="0" fontId="0" fillId="0" borderId="43" xfId="0" applyBorder="1" applyAlignment="1">
      <alignment horizontal="center"/>
    </xf>
    <xf numFmtId="0" fontId="4" fillId="0" borderId="27" xfId="0" applyFont="1" applyBorder="1" applyAlignment="1">
      <alignment horizontal="center" vertical="center"/>
    </xf>
    <xf numFmtId="0" fontId="4" fillId="0" borderId="15" xfId="0" applyFont="1" applyBorder="1" applyAlignment="1">
      <alignment horizontal="center" vertical="center"/>
    </xf>
    <xf numFmtId="0" fontId="4" fillId="0" borderId="20" xfId="0" applyFont="1" applyBorder="1" applyAlignment="1">
      <alignment horizontal="center" vertical="center"/>
    </xf>
    <xf numFmtId="14" fontId="4" fillId="0" borderId="19" xfId="0" applyNumberFormat="1" applyFont="1" applyBorder="1" applyAlignment="1">
      <alignment horizontal="center" vertical="center"/>
    </xf>
    <xf numFmtId="14" fontId="4" fillId="0" borderId="20" xfId="0" applyNumberFormat="1" applyFont="1" applyBorder="1" applyAlignment="1">
      <alignment horizontal="center" vertical="center"/>
    </xf>
    <xf numFmtId="0" fontId="0" fillId="0" borderId="19" xfId="0" applyBorder="1" applyAlignment="1">
      <alignment horizontal="center"/>
    </xf>
    <xf numFmtId="0" fontId="0" fillId="0" borderId="26" xfId="0" applyBorder="1" applyAlignment="1">
      <alignment horizontal="center"/>
    </xf>
    <xf numFmtId="0" fontId="0" fillId="0" borderId="38" xfId="0" applyBorder="1" applyAlignment="1">
      <alignment horizontal="center" vertical="center"/>
    </xf>
    <xf numFmtId="0" fontId="0" fillId="0" borderId="20" xfId="0" applyBorder="1" applyAlignment="1">
      <alignment horizontal="center" vertical="center"/>
    </xf>
    <xf numFmtId="0" fontId="0" fillId="0" borderId="36" xfId="0"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0" fontId="2" fillId="4" borderId="27" xfId="0" applyFont="1" applyFill="1" applyBorder="1" applyAlignment="1">
      <alignment horizontal="center" vertical="center"/>
    </xf>
    <xf numFmtId="0" fontId="2" fillId="4" borderId="26"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5" xfId="0" applyFont="1" applyFill="1" applyBorder="1" applyAlignment="1">
      <alignment horizontal="center" vertical="center"/>
    </xf>
    <xf numFmtId="0" fontId="2" fillId="11" borderId="26" xfId="0" applyFont="1" applyFill="1" applyBorder="1" applyAlignment="1">
      <alignment horizontal="center" vertical="center"/>
    </xf>
    <xf numFmtId="0" fontId="0" fillId="0" borderId="19" xfId="0" applyBorder="1" applyAlignment="1">
      <alignment horizontal="center" vertical="center" wrapText="1"/>
    </xf>
    <xf numFmtId="0" fontId="2" fillId="0" borderId="28" xfId="0" applyFont="1" applyBorder="1" applyAlignment="1">
      <alignment horizontal="left" vertical="center" wrapText="1"/>
    </xf>
    <xf numFmtId="0" fontId="2" fillId="0" borderId="18" xfId="0" applyFont="1" applyBorder="1" applyAlignment="1">
      <alignment horizontal="left" vertical="center" wrapText="1"/>
    </xf>
    <xf numFmtId="0" fontId="2" fillId="0" borderId="31" xfId="0" applyFont="1" applyBorder="1" applyAlignment="1">
      <alignment horizontal="left" vertical="center" wrapText="1"/>
    </xf>
    <xf numFmtId="0" fontId="2" fillId="0" borderId="24" xfId="0" applyFont="1" applyBorder="1" applyAlignment="1">
      <alignment horizontal="left" vertical="center" wrapText="1"/>
    </xf>
    <xf numFmtId="0" fontId="2" fillId="0" borderId="14" xfId="0" applyFont="1" applyBorder="1" applyAlignment="1">
      <alignment horizontal="left" vertical="center" wrapText="1"/>
    </xf>
    <xf numFmtId="0" fontId="2" fillId="0" borderId="25" xfId="0" applyFont="1" applyBorder="1" applyAlignment="1">
      <alignment horizontal="left" vertical="center" wrapText="1"/>
    </xf>
    <xf numFmtId="0" fontId="2" fillId="0" borderId="19" xfId="0" applyFont="1" applyBorder="1" applyAlignment="1">
      <alignment horizontal="center" vertical="center"/>
    </xf>
    <xf numFmtId="0" fontId="2" fillId="0" borderId="20" xfId="0" applyFont="1" applyBorder="1" applyAlignment="1">
      <alignment horizontal="center" vertical="center"/>
    </xf>
    <xf numFmtId="0" fontId="15" fillId="2" borderId="19" xfId="0" applyFont="1" applyFill="1" applyBorder="1" applyAlignment="1">
      <alignment horizontal="center" vertical="center" wrapText="1"/>
    </xf>
    <xf numFmtId="0" fontId="15" fillId="2" borderId="20" xfId="0" applyFont="1" applyFill="1" applyBorder="1" applyAlignment="1">
      <alignment horizontal="center" vertical="center" wrapText="1"/>
    </xf>
    <xf numFmtId="0" fontId="6" fillId="0" borderId="27"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20" xfId="0" applyFont="1" applyBorder="1" applyAlignment="1">
      <alignment horizontal="center" vertical="center" wrapText="1"/>
    </xf>
    <xf numFmtId="0" fontId="2" fillId="11" borderId="19" xfId="0" applyFont="1" applyFill="1" applyBorder="1" applyAlignment="1">
      <alignment horizontal="left" vertical="center" wrapText="1"/>
    </xf>
    <xf numFmtId="0" fontId="2" fillId="11" borderId="15" xfId="0" applyFont="1" applyFill="1" applyBorder="1" applyAlignment="1">
      <alignment horizontal="left" vertical="center" wrapText="1"/>
    </xf>
    <xf numFmtId="0" fontId="2" fillId="11" borderId="26" xfId="0" applyFont="1" applyFill="1" applyBorder="1" applyAlignment="1">
      <alignment horizontal="left" vertical="center" wrapText="1"/>
    </xf>
    <xf numFmtId="0" fontId="0" fillId="0" borderId="33" xfId="0" applyBorder="1" applyAlignment="1">
      <alignment horizontal="left" vertical="center" wrapText="1"/>
    </xf>
    <xf numFmtId="0" fontId="0" fillId="0" borderId="14" xfId="0" applyBorder="1" applyAlignment="1">
      <alignment horizontal="left" vertical="center" wrapText="1"/>
    </xf>
    <xf numFmtId="0" fontId="0" fillId="0" borderId="30" xfId="0" applyBorder="1" applyAlignment="1">
      <alignment horizontal="left" vertical="center" wrapText="1"/>
    </xf>
    <xf numFmtId="0" fontId="16" fillId="0" borderId="38" xfId="0" applyFont="1" applyBorder="1" applyAlignment="1">
      <alignment horizontal="justify" vertical="center" wrapText="1"/>
    </xf>
    <xf numFmtId="0" fontId="16" fillId="0" borderId="36" xfId="0" applyFont="1" applyBorder="1" applyAlignment="1">
      <alignment horizontal="justify" vertical="center" wrapText="1"/>
    </xf>
    <xf numFmtId="0" fontId="16" fillId="0" borderId="37" xfId="0" applyFont="1" applyBorder="1" applyAlignment="1">
      <alignment horizontal="justify" vertical="center" wrapText="1"/>
    </xf>
    <xf numFmtId="0" fontId="6" fillId="0" borderId="28" xfId="0" applyFont="1" applyBorder="1" applyAlignment="1">
      <alignment horizontal="justify" vertical="center" wrapText="1"/>
    </xf>
    <xf numFmtId="0" fontId="6" fillId="0" borderId="18" xfId="0" applyFont="1" applyBorder="1" applyAlignment="1">
      <alignment horizontal="justify" vertical="center" wrapText="1"/>
    </xf>
    <xf numFmtId="0" fontId="6" fillId="0" borderId="29" xfId="0" applyFont="1" applyBorder="1" applyAlignment="1">
      <alignment horizontal="justify" vertical="center" wrapText="1"/>
    </xf>
    <xf numFmtId="0" fontId="6" fillId="11" borderId="6" xfId="0" applyFont="1" applyFill="1" applyBorder="1" applyAlignment="1">
      <alignment horizontal="center" vertical="center" wrapText="1"/>
    </xf>
    <xf numFmtId="0" fontId="6" fillId="11" borderId="0" xfId="0" applyFont="1" applyFill="1" applyAlignment="1">
      <alignment horizontal="center" vertical="center" wrapText="1"/>
    </xf>
    <xf numFmtId="0" fontId="6" fillId="11" borderId="3" xfId="0" applyFont="1" applyFill="1" applyBorder="1" applyAlignment="1">
      <alignment horizontal="center" vertical="center" wrapText="1"/>
    </xf>
    <xf numFmtId="0" fontId="2" fillId="0" borderId="0" xfId="0" applyFont="1" applyAlignment="1">
      <alignment horizontal="left" vertical="center" wrapText="1"/>
    </xf>
    <xf numFmtId="0" fontId="0" fillId="0" borderId="18" xfId="0" applyBorder="1" applyAlignment="1">
      <alignment horizontal="justify" vertical="center" wrapText="1"/>
    </xf>
    <xf numFmtId="0" fontId="0" fillId="0" borderId="29" xfId="0" applyBorder="1" applyAlignment="1">
      <alignment horizontal="justify" vertical="center" wrapText="1"/>
    </xf>
    <xf numFmtId="0" fontId="0" fillId="0" borderId="0" xfId="0" applyAlignment="1">
      <alignment horizontal="justify" vertical="center" wrapText="1"/>
    </xf>
    <xf numFmtId="0" fontId="0" fillId="0" borderId="3" xfId="0" applyBorder="1" applyAlignment="1">
      <alignment horizontal="justify" vertical="center" wrapText="1"/>
    </xf>
    <xf numFmtId="0" fontId="0" fillId="0" borderId="14" xfId="0" applyBorder="1" applyAlignment="1">
      <alignment horizontal="justify" vertical="center" wrapText="1"/>
    </xf>
    <xf numFmtId="0" fontId="0" fillId="0" borderId="30" xfId="0" applyBorder="1" applyAlignment="1">
      <alignment horizontal="justify" vertical="center" wrapText="1"/>
    </xf>
    <xf numFmtId="0" fontId="0" fillId="0" borderId="15" xfId="0" applyBorder="1" applyAlignment="1">
      <alignment horizontal="left" vertical="center"/>
    </xf>
    <xf numFmtId="0" fontId="0" fillId="0" borderId="20" xfId="0" applyBorder="1" applyAlignment="1">
      <alignment horizontal="left" vertical="center"/>
    </xf>
    <xf numFmtId="0" fontId="0" fillId="11" borderId="15" xfId="0" applyFill="1" applyBorder="1" applyAlignment="1">
      <alignment horizontal="left" vertical="center" wrapText="1"/>
    </xf>
    <xf numFmtId="0" fontId="0" fillId="11" borderId="26" xfId="0" applyFill="1" applyBorder="1" applyAlignment="1">
      <alignment horizontal="left" vertical="center"/>
    </xf>
    <xf numFmtId="0" fontId="0" fillId="11" borderId="15" xfId="0" applyFill="1" applyBorder="1" applyAlignment="1">
      <alignment horizontal="left" vertical="center"/>
    </xf>
    <xf numFmtId="0" fontId="2" fillId="0" borderId="32" xfId="0" applyFont="1" applyBorder="1" applyAlignment="1">
      <alignment horizontal="left" vertical="center"/>
    </xf>
    <xf numFmtId="0" fontId="2" fillId="0" borderId="18" xfId="0" applyFont="1" applyBorder="1" applyAlignment="1">
      <alignment horizontal="left" vertical="center"/>
    </xf>
    <xf numFmtId="0" fontId="2" fillId="0" borderId="61" xfId="0" applyFont="1" applyBorder="1" applyAlignment="1">
      <alignment horizontal="left" vertical="center"/>
    </xf>
    <xf numFmtId="0" fontId="2" fillId="0" borderId="0" xfId="0" applyFont="1" applyAlignment="1">
      <alignment horizontal="left" vertical="center"/>
    </xf>
    <xf numFmtId="0" fontId="2" fillId="0" borderId="33" xfId="0" applyFont="1" applyBorder="1" applyAlignment="1">
      <alignment horizontal="left" vertical="center"/>
    </xf>
    <xf numFmtId="0" fontId="2" fillId="0" borderId="14" xfId="0" applyFont="1" applyBorder="1" applyAlignment="1">
      <alignment horizontal="left" vertical="center"/>
    </xf>
    <xf numFmtId="0" fontId="0" fillId="0" borderId="26" xfId="0" applyBorder="1" applyAlignment="1">
      <alignment horizontal="left" vertical="center"/>
    </xf>
    <xf numFmtId="0" fontId="2" fillId="4" borderId="21" xfId="0" applyFont="1" applyFill="1" applyBorder="1" applyAlignment="1">
      <alignment horizontal="center" vertical="center"/>
    </xf>
    <xf numFmtId="0" fontId="2" fillId="4" borderId="22" xfId="0" applyFont="1" applyFill="1" applyBorder="1" applyAlignment="1">
      <alignment horizontal="center" vertical="center"/>
    </xf>
    <xf numFmtId="0" fontId="2" fillId="4" borderId="23" xfId="0" applyFont="1" applyFill="1" applyBorder="1" applyAlignment="1">
      <alignment horizontal="center" vertical="center"/>
    </xf>
    <xf numFmtId="14" fontId="0" fillId="0" borderId="15" xfId="0" applyNumberFormat="1" applyBorder="1" applyAlignment="1">
      <alignment horizontal="left" vertical="center"/>
    </xf>
    <xf numFmtId="14" fontId="0" fillId="0" borderId="26" xfId="0" applyNumberFormat="1" applyBorder="1" applyAlignment="1">
      <alignment horizontal="left" vertical="center"/>
    </xf>
    <xf numFmtId="0" fontId="0" fillId="11" borderId="0" xfId="0" applyFill="1" applyAlignment="1">
      <alignment horizontal="center"/>
    </xf>
    <xf numFmtId="0" fontId="2" fillId="0" borderId="28" xfId="0" applyFont="1" applyBorder="1" applyAlignment="1">
      <alignment horizontal="left" vertical="top"/>
    </xf>
    <xf numFmtId="0" fontId="2" fillId="0" borderId="18" xfId="0" applyFont="1" applyBorder="1" applyAlignment="1">
      <alignment horizontal="left" vertical="top"/>
    </xf>
    <xf numFmtId="0" fontId="0" fillId="0" borderId="18" xfId="0" applyBorder="1" applyAlignment="1">
      <alignment horizontal="left" vertical="top"/>
    </xf>
    <xf numFmtId="0" fontId="0" fillId="0" borderId="31" xfId="0" applyBorder="1" applyAlignment="1">
      <alignment horizontal="left" vertical="top"/>
    </xf>
    <xf numFmtId="0" fontId="2" fillId="0" borderId="32" xfId="0" applyFont="1" applyBorder="1" applyAlignment="1">
      <alignment horizontal="left" vertical="top"/>
    </xf>
    <xf numFmtId="0" fontId="0" fillId="0" borderId="29" xfId="0" applyBorder="1" applyAlignment="1">
      <alignment horizontal="left" vertical="top"/>
    </xf>
    <xf numFmtId="0" fontId="2" fillId="0" borderId="24" xfId="0" applyFont="1" applyBorder="1" applyAlignment="1">
      <alignment horizontal="center" vertical="top"/>
    </xf>
    <xf numFmtId="0" fontId="2" fillId="0" borderId="14" xfId="0" applyFont="1" applyBorder="1" applyAlignment="1">
      <alignment horizontal="center" vertical="top"/>
    </xf>
    <xf numFmtId="0" fontId="0" fillId="0" borderId="33" xfId="0" applyBorder="1" applyAlignment="1">
      <alignment horizontal="center" vertical="center"/>
    </xf>
    <xf numFmtId="0" fontId="0" fillId="0" borderId="14" xfId="0" applyBorder="1" applyAlignment="1">
      <alignment horizontal="center" vertical="center"/>
    </xf>
    <xf numFmtId="0" fontId="2" fillId="0" borderId="27" xfId="0" applyFont="1" applyBorder="1" applyAlignment="1">
      <alignment horizontal="center" vertical="center"/>
    </xf>
    <xf numFmtId="0" fontId="2" fillId="0" borderId="15" xfId="0" applyFont="1" applyBorder="1" applyAlignment="1">
      <alignment horizontal="center" vertical="center"/>
    </xf>
    <xf numFmtId="0" fontId="0" fillId="0" borderId="27" xfId="0" applyBorder="1" applyAlignment="1">
      <alignment horizontal="center" vertical="center"/>
    </xf>
    <xf numFmtId="166" fontId="0" fillId="0" borderId="14" xfId="0" applyNumberFormat="1" applyBorder="1" applyAlignment="1">
      <alignment horizontal="center" vertical="center"/>
    </xf>
    <xf numFmtId="166" fontId="0" fillId="0" borderId="30" xfId="0" applyNumberFormat="1" applyBorder="1" applyAlignment="1">
      <alignment horizontal="center" vertical="center"/>
    </xf>
    <xf numFmtId="0" fontId="0" fillId="0" borderId="18" xfId="0" applyBorder="1" applyAlignment="1">
      <alignment horizontal="left" vertical="center" wrapText="1"/>
    </xf>
    <xf numFmtId="0" fontId="0" fillId="0" borderId="29" xfId="0" applyBorder="1" applyAlignment="1">
      <alignment horizontal="left" vertical="center" wrapText="1"/>
    </xf>
    <xf numFmtId="0" fontId="0" fillId="0" borderId="0" xfId="0" applyAlignment="1">
      <alignment horizontal="left" vertical="center" wrapText="1"/>
    </xf>
    <xf numFmtId="0" fontId="0" fillId="0" borderId="3" xfId="0" applyBorder="1" applyAlignment="1">
      <alignment horizontal="left" vertical="center" wrapText="1"/>
    </xf>
    <xf numFmtId="0" fontId="2" fillId="0" borderId="19" xfId="0" applyFont="1" applyBorder="1" applyAlignment="1">
      <alignment horizontal="center" vertical="center" wrapText="1"/>
    </xf>
    <xf numFmtId="0" fontId="2" fillId="0" borderId="26" xfId="0" applyFont="1" applyBorder="1" applyAlignment="1">
      <alignment horizontal="center" vertical="center" wrapText="1"/>
    </xf>
    <xf numFmtId="4" fontId="0" fillId="0" borderId="19" xfId="0" applyNumberFormat="1" applyBorder="1" applyAlignment="1">
      <alignment horizontal="right" vertical="center"/>
    </xf>
    <xf numFmtId="4" fontId="0" fillId="0" borderId="26" xfId="0" applyNumberFormat="1" applyBorder="1" applyAlignment="1">
      <alignment horizontal="right" vertical="center"/>
    </xf>
    <xf numFmtId="0" fontId="2" fillId="0" borderId="32" xfId="0" applyFont="1" applyBorder="1" applyAlignment="1">
      <alignment horizontal="left" vertical="center" wrapText="1"/>
    </xf>
    <xf numFmtId="0" fontId="2" fillId="0" borderId="33" xfId="0" applyFont="1" applyBorder="1" applyAlignment="1">
      <alignment horizontal="left" vertical="center" wrapText="1"/>
    </xf>
    <xf numFmtId="0" fontId="0" fillId="0" borderId="18" xfId="0" applyBorder="1" applyAlignment="1">
      <alignment horizontal="left" vertical="center"/>
    </xf>
    <xf numFmtId="0" fontId="0" fillId="0" borderId="29" xfId="0" applyBorder="1" applyAlignment="1">
      <alignment horizontal="left" vertical="center"/>
    </xf>
    <xf numFmtId="0" fontId="0" fillId="0" borderId="14" xfId="0" applyBorder="1" applyAlignment="1">
      <alignment horizontal="left" vertical="center"/>
    </xf>
    <xf numFmtId="0" fontId="0" fillId="0" borderId="30" xfId="0" applyBorder="1" applyAlignment="1">
      <alignment horizontal="left" vertical="center"/>
    </xf>
    <xf numFmtId="0" fontId="2" fillId="0" borderId="26" xfId="0" applyFont="1" applyBorder="1" applyAlignment="1">
      <alignment horizontal="center" vertical="center"/>
    </xf>
    <xf numFmtId="0" fontId="0" fillId="0" borderId="26" xfId="0" applyBorder="1" applyAlignment="1">
      <alignment horizontal="center" vertical="center"/>
    </xf>
    <xf numFmtId="4" fontId="2" fillId="0" borderId="19" xfId="0" applyNumberFormat="1" applyFont="1" applyBorder="1" applyAlignment="1">
      <alignment horizontal="right" vertical="center"/>
    </xf>
    <xf numFmtId="4" fontId="2" fillId="0" borderId="26" xfId="0" applyNumberFormat="1" applyFont="1" applyBorder="1" applyAlignment="1">
      <alignment horizontal="right" vertical="center"/>
    </xf>
    <xf numFmtId="0" fontId="2" fillId="0" borderId="15" xfId="0" applyFont="1" applyBorder="1" applyAlignment="1">
      <alignment horizontal="right" vertical="center"/>
    </xf>
    <xf numFmtId="0" fontId="2" fillId="0" borderId="20" xfId="0" applyFont="1" applyBorder="1" applyAlignment="1">
      <alignment horizontal="right" vertical="center"/>
    </xf>
    <xf numFmtId="0" fontId="2" fillId="0" borderId="26" xfId="0" applyFont="1" applyBorder="1" applyAlignment="1">
      <alignment horizontal="right"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37" xfId="0" applyFont="1" applyBorder="1" applyAlignment="1">
      <alignment horizontal="center" vertical="center"/>
    </xf>
    <xf numFmtId="0" fontId="0" fillId="0" borderId="37" xfId="0" applyBorder="1" applyAlignment="1">
      <alignment horizontal="center" vertical="center"/>
    </xf>
    <xf numFmtId="0" fontId="0" fillId="0" borderId="36" xfId="0" applyBorder="1" applyAlignment="1">
      <alignment horizontal="center" vertical="center" wrapText="1"/>
    </xf>
    <xf numFmtId="0" fontId="0" fillId="0" borderId="37" xfId="0" applyBorder="1" applyAlignment="1">
      <alignment horizontal="center" vertical="center" wrapText="1"/>
    </xf>
    <xf numFmtId="1" fontId="0" fillId="0" borderId="36" xfId="0" applyNumberFormat="1" applyBorder="1" applyAlignment="1">
      <alignment horizontal="center" vertical="center"/>
    </xf>
    <xf numFmtId="0" fontId="0" fillId="0" borderId="40" xfId="0" applyBorder="1" applyAlignment="1">
      <alignment horizontal="center"/>
    </xf>
    <xf numFmtId="0" fontId="2" fillId="0" borderId="36" xfId="0" applyFont="1" applyBorder="1" applyAlignment="1">
      <alignment horizontal="center" vertical="center" wrapText="1"/>
    </xf>
    <xf numFmtId="0" fontId="0" fillId="0" borderId="15" xfId="0" applyBorder="1" applyAlignment="1">
      <alignment horizontal="center"/>
    </xf>
    <xf numFmtId="0" fontId="7" fillId="2" borderId="16" xfId="0" applyFont="1" applyFill="1" applyBorder="1" applyAlignment="1">
      <alignment horizontal="center" vertical="center" textRotation="90"/>
    </xf>
    <xf numFmtId="0" fontId="7" fillId="2" borderId="17" xfId="0" applyFont="1" applyFill="1" applyBorder="1" applyAlignment="1">
      <alignment horizontal="center" vertical="center" textRotation="90"/>
    </xf>
    <xf numFmtId="0" fontId="7" fillId="2" borderId="4" xfId="0" applyFont="1" applyFill="1" applyBorder="1" applyAlignment="1">
      <alignment horizontal="center" vertical="center" textRotation="90"/>
    </xf>
    <xf numFmtId="0" fontId="7" fillId="2" borderId="0" xfId="0" applyFont="1" applyFill="1" applyAlignment="1">
      <alignment horizontal="right" wrapText="1"/>
    </xf>
    <xf numFmtId="0" fontId="7" fillId="3" borderId="5" xfId="0" applyFont="1" applyFill="1" applyBorder="1" applyAlignment="1">
      <alignment horizontal="center" vertical="center"/>
    </xf>
    <xf numFmtId="0" fontId="7" fillId="3" borderId="9" xfId="0" applyFont="1" applyFill="1" applyBorder="1" applyAlignment="1">
      <alignment horizontal="center" vertical="center"/>
    </xf>
    <xf numFmtId="0" fontId="7" fillId="3" borderId="8" xfId="0" applyFont="1" applyFill="1" applyBorder="1" applyAlignment="1">
      <alignment horizontal="center" vertical="center"/>
    </xf>
  </cellXfs>
  <cellStyles count="4">
    <cellStyle name="Comma" xfId="1" builtinId="3"/>
    <cellStyle name="Hyperlink" xfId="3" builtinId="8"/>
    <cellStyle name="Normal" xfId="0" builtinId="0"/>
    <cellStyle name="Percent" xfId="2" builtinId="5"/>
  </cellStyles>
  <dxfs count="30">
    <dxf>
      <fill>
        <patternFill>
          <bgColor rgb="FFFF5050"/>
        </patternFill>
      </fill>
    </dxf>
    <dxf>
      <fill>
        <patternFill>
          <bgColor rgb="FFFFFF00"/>
        </patternFill>
      </fill>
    </dxf>
    <dxf>
      <fill>
        <patternFill>
          <bgColor rgb="FFFF505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171450</xdr:rowOff>
        </xdr:from>
        <xdr:to>
          <xdr:col>1</xdr:col>
          <xdr:colOff>781050</xdr:colOff>
          <xdr:row>5</xdr:row>
          <xdr:rowOff>180975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A" sz="1100" b="1" i="0" u="none" strike="noStrike" baseline="0">
                  <a:solidFill>
                    <a:srgbClr val="000000"/>
                  </a:solidFill>
                  <a:latin typeface="Calibri"/>
                  <a:cs typeface="Calibri"/>
                </a:rPr>
                <a:t>BORRAR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0</xdr:rowOff>
        </xdr:from>
        <xdr:to>
          <xdr:col>4</xdr:col>
          <xdr:colOff>1428750</xdr:colOff>
          <xdr:row>6</xdr:row>
          <xdr:rowOff>38100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A" sz="1100" b="1" i="0" u="none" strike="noStrike" baseline="0">
                  <a:solidFill>
                    <a:srgbClr val="000000"/>
                  </a:solidFill>
                  <a:latin typeface="Calibri"/>
                  <a:cs typeface="Calibri"/>
                </a:rPr>
                <a:t>GUARDAR EN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1847850</xdr:colOff>
          <xdr:row>3</xdr:row>
          <xdr:rowOff>171450</xdr:rowOff>
        </xdr:from>
        <xdr:to>
          <xdr:col>2</xdr:col>
          <xdr:colOff>1266825</xdr:colOff>
          <xdr:row>6</xdr:row>
          <xdr:rowOff>19050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A" sz="1100" b="1" i="0" u="none" strike="noStrike" baseline="0">
                  <a:solidFill>
                    <a:srgbClr val="000000"/>
                  </a:solidFill>
                  <a:latin typeface="Calibri"/>
                  <a:cs typeface="Calibri"/>
                </a:rPr>
                <a:t>GUARDAR COMO</a:t>
              </a:r>
            </a:p>
          </xdr:txBody>
        </xdr:sp>
        <xdr:clientData fPrintsWithSheet="0"/>
      </xdr:twoCellAnchor>
    </mc:Choice>
    <mc:Fallback/>
  </mc:AlternateContent>
  <xdr:twoCellAnchor editAs="oneCell">
    <xdr:from>
      <xdr:col>2</xdr:col>
      <xdr:colOff>1523996</xdr:colOff>
      <xdr:row>0</xdr:row>
      <xdr:rowOff>31750</xdr:rowOff>
    </xdr:from>
    <xdr:to>
      <xdr:col>5</xdr:col>
      <xdr:colOff>13119</xdr:colOff>
      <xdr:row>2</xdr:row>
      <xdr:rowOff>19685</xdr:rowOff>
    </xdr:to>
    <xdr:pic>
      <xdr:nvPicPr>
        <xdr:cNvPr id="6" name="Imagen 5">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1"/>
        <a:stretch>
          <a:fillRect/>
        </a:stretch>
      </xdr:blipFill>
      <xdr:spPr>
        <a:xfrm>
          <a:off x="3852329" y="31750"/>
          <a:ext cx="2256790" cy="52768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466725</xdr:colOff>
      <xdr:row>0</xdr:row>
      <xdr:rowOff>0</xdr:rowOff>
    </xdr:from>
    <xdr:to>
      <xdr:col>9</xdr:col>
      <xdr:colOff>628015</xdr:colOff>
      <xdr:row>2</xdr:row>
      <xdr:rowOff>146685</xdr:rowOff>
    </xdr:to>
    <xdr:pic>
      <xdr:nvPicPr>
        <xdr:cNvPr id="4" name="Imagen 3">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stretch>
          <a:fillRect/>
        </a:stretch>
      </xdr:blipFill>
      <xdr:spPr>
        <a:xfrm>
          <a:off x="6886575" y="0"/>
          <a:ext cx="2256790" cy="52768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123826</xdr:colOff>
      <xdr:row>22</xdr:row>
      <xdr:rowOff>47627</xdr:rowOff>
    </xdr:from>
    <xdr:to>
      <xdr:col>3</xdr:col>
      <xdr:colOff>514350</xdr:colOff>
      <xdr:row>22</xdr:row>
      <xdr:rowOff>285751</xdr:rowOff>
    </xdr:to>
    <xdr:sp macro="" textlink="">
      <xdr:nvSpPr>
        <xdr:cNvPr id="3" name="CuadroTexto 3">
          <a:extLst>
            <a:ext uri="{FF2B5EF4-FFF2-40B4-BE49-F238E27FC236}">
              <a16:creationId xmlns:a16="http://schemas.microsoft.com/office/drawing/2014/main" id="{00000000-0008-0000-0500-000003000000}"/>
            </a:ext>
          </a:extLst>
        </xdr:cNvPr>
        <xdr:cNvSpPr txBox="1"/>
      </xdr:nvSpPr>
      <xdr:spPr>
        <a:xfrm>
          <a:off x="3838576" y="5162552"/>
          <a:ext cx="390524" cy="2381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endParaRPr lang="es-MX" sz="1100"/>
        </a:p>
      </xdr:txBody>
    </xdr:sp>
    <xdr:clientData/>
  </xdr:twoCellAnchor>
  <xdr:twoCellAnchor>
    <xdr:from>
      <xdr:col>4</xdr:col>
      <xdr:colOff>266701</xdr:colOff>
      <xdr:row>25</xdr:row>
      <xdr:rowOff>38101</xdr:rowOff>
    </xdr:from>
    <xdr:to>
      <xdr:col>4</xdr:col>
      <xdr:colOff>695325</xdr:colOff>
      <xdr:row>26</xdr:row>
      <xdr:rowOff>0</xdr:rowOff>
    </xdr:to>
    <xdr:sp macro="" textlink="">
      <xdr:nvSpPr>
        <xdr:cNvPr id="4" name="CuadroTexto 48">
          <a:extLst>
            <a:ext uri="{FF2B5EF4-FFF2-40B4-BE49-F238E27FC236}">
              <a16:creationId xmlns:a16="http://schemas.microsoft.com/office/drawing/2014/main" id="{00000000-0008-0000-0500-000004000000}"/>
            </a:ext>
          </a:extLst>
        </xdr:cNvPr>
        <xdr:cNvSpPr txBox="1"/>
      </xdr:nvSpPr>
      <xdr:spPr>
        <a:xfrm>
          <a:off x="5334001" y="6124576"/>
          <a:ext cx="0"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3</xdr:col>
      <xdr:colOff>123826</xdr:colOff>
      <xdr:row>31</xdr:row>
      <xdr:rowOff>47627</xdr:rowOff>
    </xdr:from>
    <xdr:to>
      <xdr:col>3</xdr:col>
      <xdr:colOff>514350</xdr:colOff>
      <xdr:row>31</xdr:row>
      <xdr:rowOff>285751</xdr:rowOff>
    </xdr:to>
    <xdr:sp macro="" textlink="">
      <xdr:nvSpPr>
        <xdr:cNvPr id="5" name="CuadroTexto 49">
          <a:extLst>
            <a:ext uri="{FF2B5EF4-FFF2-40B4-BE49-F238E27FC236}">
              <a16:creationId xmlns:a16="http://schemas.microsoft.com/office/drawing/2014/main" id="{00000000-0008-0000-0500-000005000000}"/>
            </a:ext>
          </a:extLst>
        </xdr:cNvPr>
        <xdr:cNvSpPr txBox="1"/>
      </xdr:nvSpPr>
      <xdr:spPr>
        <a:xfrm>
          <a:off x="3838576" y="8077202"/>
          <a:ext cx="390524" cy="2381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endParaRPr lang="es-MX" sz="1100"/>
        </a:p>
      </xdr:txBody>
    </xdr:sp>
    <xdr:clientData/>
  </xdr:twoCellAnchor>
  <xdr:twoCellAnchor>
    <xdr:from>
      <xdr:col>4</xdr:col>
      <xdr:colOff>266701</xdr:colOff>
      <xdr:row>31</xdr:row>
      <xdr:rowOff>38101</xdr:rowOff>
    </xdr:from>
    <xdr:to>
      <xdr:col>4</xdr:col>
      <xdr:colOff>695325</xdr:colOff>
      <xdr:row>32</xdr:row>
      <xdr:rowOff>0</xdr:rowOff>
    </xdr:to>
    <xdr:sp macro="" textlink="">
      <xdr:nvSpPr>
        <xdr:cNvPr id="6" name="CuadroTexto 50">
          <a:extLst>
            <a:ext uri="{FF2B5EF4-FFF2-40B4-BE49-F238E27FC236}">
              <a16:creationId xmlns:a16="http://schemas.microsoft.com/office/drawing/2014/main" id="{00000000-0008-0000-0500-000006000000}"/>
            </a:ext>
          </a:extLst>
        </xdr:cNvPr>
        <xdr:cNvSpPr txBox="1"/>
      </xdr:nvSpPr>
      <xdr:spPr>
        <a:xfrm>
          <a:off x="5334001" y="8067676"/>
          <a:ext cx="0"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2</xdr:col>
      <xdr:colOff>438151</xdr:colOff>
      <xdr:row>35</xdr:row>
      <xdr:rowOff>28576</xdr:rowOff>
    </xdr:from>
    <xdr:to>
      <xdr:col>2</xdr:col>
      <xdr:colOff>866775</xdr:colOff>
      <xdr:row>35</xdr:row>
      <xdr:rowOff>333375</xdr:rowOff>
    </xdr:to>
    <xdr:sp macro="" textlink="">
      <xdr:nvSpPr>
        <xdr:cNvPr id="7" name="CuadroTexto 51">
          <a:extLst>
            <a:ext uri="{FF2B5EF4-FFF2-40B4-BE49-F238E27FC236}">
              <a16:creationId xmlns:a16="http://schemas.microsoft.com/office/drawing/2014/main" id="{00000000-0008-0000-0500-000007000000}"/>
            </a:ext>
          </a:extLst>
        </xdr:cNvPr>
        <xdr:cNvSpPr txBox="1"/>
      </xdr:nvSpPr>
      <xdr:spPr>
        <a:xfrm>
          <a:off x="2085976" y="9534526"/>
          <a:ext cx="428624"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0</xdr:col>
      <xdr:colOff>514351</xdr:colOff>
      <xdr:row>35</xdr:row>
      <xdr:rowOff>38102</xdr:rowOff>
    </xdr:from>
    <xdr:to>
      <xdr:col>0</xdr:col>
      <xdr:colOff>904875</xdr:colOff>
      <xdr:row>35</xdr:row>
      <xdr:rowOff>276226</xdr:rowOff>
    </xdr:to>
    <xdr:sp macro="" textlink="">
      <xdr:nvSpPr>
        <xdr:cNvPr id="8" name="CuadroTexto 52">
          <a:extLst>
            <a:ext uri="{FF2B5EF4-FFF2-40B4-BE49-F238E27FC236}">
              <a16:creationId xmlns:a16="http://schemas.microsoft.com/office/drawing/2014/main" id="{00000000-0008-0000-0500-000008000000}"/>
            </a:ext>
          </a:extLst>
        </xdr:cNvPr>
        <xdr:cNvSpPr txBox="1"/>
      </xdr:nvSpPr>
      <xdr:spPr>
        <a:xfrm>
          <a:off x="247651" y="9544052"/>
          <a:ext cx="0" cy="2381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endParaRPr lang="es-MX" sz="1100"/>
        </a:p>
      </xdr:txBody>
    </xdr:sp>
    <xdr:clientData/>
  </xdr:twoCellAnchor>
  <xdr:twoCellAnchor>
    <xdr:from>
      <xdr:col>3</xdr:col>
      <xdr:colOff>123826</xdr:colOff>
      <xdr:row>25</xdr:row>
      <xdr:rowOff>47627</xdr:rowOff>
    </xdr:from>
    <xdr:to>
      <xdr:col>3</xdr:col>
      <xdr:colOff>514350</xdr:colOff>
      <xdr:row>25</xdr:row>
      <xdr:rowOff>285751</xdr:rowOff>
    </xdr:to>
    <xdr:sp macro="" textlink="">
      <xdr:nvSpPr>
        <xdr:cNvPr id="9" name="CuadroTexto 55">
          <a:extLst>
            <a:ext uri="{FF2B5EF4-FFF2-40B4-BE49-F238E27FC236}">
              <a16:creationId xmlns:a16="http://schemas.microsoft.com/office/drawing/2014/main" id="{00000000-0008-0000-0500-000009000000}"/>
            </a:ext>
          </a:extLst>
        </xdr:cNvPr>
        <xdr:cNvSpPr txBox="1"/>
      </xdr:nvSpPr>
      <xdr:spPr>
        <a:xfrm>
          <a:off x="3838576" y="6134102"/>
          <a:ext cx="390524" cy="2381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endParaRPr lang="es-MX" sz="1100"/>
        </a:p>
      </xdr:txBody>
    </xdr:sp>
    <xdr:clientData/>
  </xdr:twoCellAnchor>
  <xdr:twoCellAnchor>
    <xdr:from>
      <xdr:col>5</xdr:col>
      <xdr:colOff>66675</xdr:colOff>
      <xdr:row>25</xdr:row>
      <xdr:rowOff>38101</xdr:rowOff>
    </xdr:from>
    <xdr:to>
      <xdr:col>5</xdr:col>
      <xdr:colOff>523874</xdr:colOff>
      <xdr:row>26</xdr:row>
      <xdr:rowOff>0</xdr:rowOff>
    </xdr:to>
    <xdr:sp macro="" textlink="">
      <xdr:nvSpPr>
        <xdr:cNvPr id="10" name="CuadroTexto 56">
          <a:extLst>
            <a:ext uri="{FF2B5EF4-FFF2-40B4-BE49-F238E27FC236}">
              <a16:creationId xmlns:a16="http://schemas.microsoft.com/office/drawing/2014/main" id="{00000000-0008-0000-0500-00000A000000}"/>
            </a:ext>
          </a:extLst>
        </xdr:cNvPr>
        <xdr:cNvSpPr txBox="1"/>
      </xdr:nvSpPr>
      <xdr:spPr>
        <a:xfrm flipH="1">
          <a:off x="5400675" y="6124576"/>
          <a:ext cx="457199"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4</xdr:col>
      <xdr:colOff>266701</xdr:colOff>
      <xdr:row>31</xdr:row>
      <xdr:rowOff>38101</xdr:rowOff>
    </xdr:from>
    <xdr:to>
      <xdr:col>4</xdr:col>
      <xdr:colOff>695325</xdr:colOff>
      <xdr:row>32</xdr:row>
      <xdr:rowOff>0</xdr:rowOff>
    </xdr:to>
    <xdr:sp macro="" textlink="">
      <xdr:nvSpPr>
        <xdr:cNvPr id="11" name="CuadroTexto 58">
          <a:extLst>
            <a:ext uri="{FF2B5EF4-FFF2-40B4-BE49-F238E27FC236}">
              <a16:creationId xmlns:a16="http://schemas.microsoft.com/office/drawing/2014/main" id="{00000000-0008-0000-0500-00000B000000}"/>
            </a:ext>
          </a:extLst>
        </xdr:cNvPr>
        <xdr:cNvSpPr txBox="1"/>
      </xdr:nvSpPr>
      <xdr:spPr>
        <a:xfrm>
          <a:off x="5334001" y="8067676"/>
          <a:ext cx="0"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4</xdr:col>
      <xdr:colOff>266701</xdr:colOff>
      <xdr:row>22</xdr:row>
      <xdr:rowOff>38101</xdr:rowOff>
    </xdr:from>
    <xdr:to>
      <xdr:col>4</xdr:col>
      <xdr:colOff>695325</xdr:colOff>
      <xdr:row>23</xdr:row>
      <xdr:rowOff>0</xdr:rowOff>
    </xdr:to>
    <xdr:sp macro="" textlink="">
      <xdr:nvSpPr>
        <xdr:cNvPr id="12" name="CuadroTexto 61">
          <a:extLst>
            <a:ext uri="{FF2B5EF4-FFF2-40B4-BE49-F238E27FC236}">
              <a16:creationId xmlns:a16="http://schemas.microsoft.com/office/drawing/2014/main" id="{00000000-0008-0000-0500-00000C000000}"/>
            </a:ext>
          </a:extLst>
        </xdr:cNvPr>
        <xdr:cNvSpPr txBox="1"/>
      </xdr:nvSpPr>
      <xdr:spPr>
        <a:xfrm>
          <a:off x="5334001" y="5153026"/>
          <a:ext cx="0"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5</xdr:col>
      <xdr:colOff>76197</xdr:colOff>
      <xdr:row>22</xdr:row>
      <xdr:rowOff>38100</xdr:rowOff>
    </xdr:from>
    <xdr:to>
      <xdr:col>5</xdr:col>
      <xdr:colOff>542924</xdr:colOff>
      <xdr:row>22</xdr:row>
      <xdr:rowOff>304800</xdr:rowOff>
    </xdr:to>
    <xdr:sp macro="" textlink="">
      <xdr:nvSpPr>
        <xdr:cNvPr id="13" name="CuadroTexto 62">
          <a:extLst>
            <a:ext uri="{FF2B5EF4-FFF2-40B4-BE49-F238E27FC236}">
              <a16:creationId xmlns:a16="http://schemas.microsoft.com/office/drawing/2014/main" id="{00000000-0008-0000-0500-00000D000000}"/>
            </a:ext>
          </a:extLst>
        </xdr:cNvPr>
        <xdr:cNvSpPr txBox="1"/>
      </xdr:nvSpPr>
      <xdr:spPr>
        <a:xfrm flipH="1">
          <a:off x="5410197" y="5153025"/>
          <a:ext cx="466727"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4</xdr:col>
      <xdr:colOff>266701</xdr:colOff>
      <xdr:row>31</xdr:row>
      <xdr:rowOff>38101</xdr:rowOff>
    </xdr:from>
    <xdr:to>
      <xdr:col>4</xdr:col>
      <xdr:colOff>695325</xdr:colOff>
      <xdr:row>32</xdr:row>
      <xdr:rowOff>0</xdr:rowOff>
    </xdr:to>
    <xdr:sp macro="" textlink="">
      <xdr:nvSpPr>
        <xdr:cNvPr id="14" name="CuadroTexto 63">
          <a:extLst>
            <a:ext uri="{FF2B5EF4-FFF2-40B4-BE49-F238E27FC236}">
              <a16:creationId xmlns:a16="http://schemas.microsoft.com/office/drawing/2014/main" id="{00000000-0008-0000-0500-00000E000000}"/>
            </a:ext>
          </a:extLst>
        </xdr:cNvPr>
        <xdr:cNvSpPr txBox="1"/>
      </xdr:nvSpPr>
      <xdr:spPr>
        <a:xfrm>
          <a:off x="5334001" y="8067676"/>
          <a:ext cx="0"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5</xdr:col>
      <xdr:colOff>66675</xdr:colOff>
      <xdr:row>31</xdr:row>
      <xdr:rowOff>1</xdr:rowOff>
    </xdr:from>
    <xdr:to>
      <xdr:col>5</xdr:col>
      <xdr:colOff>523874</xdr:colOff>
      <xdr:row>31</xdr:row>
      <xdr:rowOff>304800</xdr:rowOff>
    </xdr:to>
    <xdr:sp macro="" textlink="">
      <xdr:nvSpPr>
        <xdr:cNvPr id="15" name="CuadroTexto 64">
          <a:extLst>
            <a:ext uri="{FF2B5EF4-FFF2-40B4-BE49-F238E27FC236}">
              <a16:creationId xmlns:a16="http://schemas.microsoft.com/office/drawing/2014/main" id="{00000000-0008-0000-0500-00000F000000}"/>
            </a:ext>
          </a:extLst>
        </xdr:cNvPr>
        <xdr:cNvSpPr txBox="1"/>
      </xdr:nvSpPr>
      <xdr:spPr>
        <a:xfrm flipH="1">
          <a:off x="5400675" y="8029576"/>
          <a:ext cx="457199"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1</xdr:col>
      <xdr:colOff>200026</xdr:colOff>
      <xdr:row>35</xdr:row>
      <xdr:rowOff>28576</xdr:rowOff>
    </xdr:from>
    <xdr:to>
      <xdr:col>1</xdr:col>
      <xdr:colOff>533400</xdr:colOff>
      <xdr:row>35</xdr:row>
      <xdr:rowOff>333375</xdr:rowOff>
    </xdr:to>
    <xdr:sp macro="" textlink="">
      <xdr:nvSpPr>
        <xdr:cNvPr id="16" name="CuadroTexto 66">
          <a:extLst>
            <a:ext uri="{FF2B5EF4-FFF2-40B4-BE49-F238E27FC236}">
              <a16:creationId xmlns:a16="http://schemas.microsoft.com/office/drawing/2014/main" id="{00000000-0008-0000-0500-000010000000}"/>
            </a:ext>
          </a:extLst>
        </xdr:cNvPr>
        <xdr:cNvSpPr txBox="1"/>
      </xdr:nvSpPr>
      <xdr:spPr>
        <a:xfrm>
          <a:off x="447676" y="9534526"/>
          <a:ext cx="333374"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p>
      </xdr:txBody>
    </xdr:sp>
    <xdr:clientData/>
  </xdr:twoCellAnchor>
  <xdr:twoCellAnchor editAs="oneCell">
    <xdr:from>
      <xdr:col>6</xdr:col>
      <xdr:colOff>838200</xdr:colOff>
      <xdr:row>0</xdr:row>
      <xdr:rowOff>0</xdr:rowOff>
    </xdr:from>
    <xdr:to>
      <xdr:col>7</xdr:col>
      <xdr:colOff>1618615</xdr:colOff>
      <xdr:row>2</xdr:row>
      <xdr:rowOff>13335</xdr:rowOff>
    </xdr:to>
    <xdr:pic>
      <xdr:nvPicPr>
        <xdr:cNvPr id="17" name="Imagen 16">
          <a:extLst>
            <a:ext uri="{FF2B5EF4-FFF2-40B4-BE49-F238E27FC236}">
              <a16:creationId xmlns:a16="http://schemas.microsoft.com/office/drawing/2014/main" id="{00000000-0008-0000-0500-000011000000}"/>
            </a:ext>
          </a:extLst>
        </xdr:cNvPr>
        <xdr:cNvPicPr/>
      </xdr:nvPicPr>
      <xdr:blipFill>
        <a:blip xmlns:r="http://schemas.openxmlformats.org/officeDocument/2006/relationships" r:embed="rId1"/>
        <a:stretch>
          <a:fillRect/>
        </a:stretch>
      </xdr:blipFill>
      <xdr:spPr>
        <a:xfrm>
          <a:off x="7562850" y="0"/>
          <a:ext cx="2256790" cy="52768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1390650</xdr:colOff>
      <xdr:row>0</xdr:row>
      <xdr:rowOff>0</xdr:rowOff>
    </xdr:from>
    <xdr:to>
      <xdr:col>8</xdr:col>
      <xdr:colOff>1085215</xdr:colOff>
      <xdr:row>2</xdr:row>
      <xdr:rowOff>13335</xdr:rowOff>
    </xdr:to>
    <xdr:pic>
      <xdr:nvPicPr>
        <xdr:cNvPr id="4" name="Imagen 3">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a:stretch>
          <a:fillRect/>
        </a:stretch>
      </xdr:blipFill>
      <xdr:spPr>
        <a:xfrm>
          <a:off x="7962900" y="0"/>
          <a:ext cx="2256790" cy="52768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3769178</xdr:colOff>
      <xdr:row>1</xdr:row>
      <xdr:rowOff>0</xdr:rowOff>
    </xdr:from>
    <xdr:to>
      <xdr:col>4</xdr:col>
      <xdr:colOff>204107</xdr:colOff>
      <xdr:row>4</xdr:row>
      <xdr:rowOff>13607</xdr:rowOff>
    </xdr:to>
    <xdr:pic>
      <xdr:nvPicPr>
        <xdr:cNvPr id="3" name="Imagen 2">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stretch>
          <a:fillRect/>
        </a:stretch>
      </xdr:blipFill>
      <xdr:spPr>
        <a:xfrm>
          <a:off x="6204857" y="585107"/>
          <a:ext cx="2721429" cy="6667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theme="6" tint="-0.249977111117893"/>
    <pageSetUpPr fitToPage="1"/>
  </sheetPr>
  <dimension ref="A1:K133"/>
  <sheetViews>
    <sheetView showZeros="0" zoomScale="90" zoomScaleNormal="90" workbookViewId="0">
      <selection activeCell="C10" sqref="C10"/>
    </sheetView>
  </sheetViews>
  <sheetFormatPr defaultColWidth="11.42578125" defaultRowHeight="15"/>
  <cols>
    <col min="1" max="1" width="4.7109375" customWidth="1" collapsed="1"/>
    <col min="2" max="3" width="30.140625" customWidth="1" collapsed="1"/>
    <col min="4" max="4" width="4.7109375" customWidth="1" collapsed="1"/>
    <col min="5" max="5" width="21.5703125" customWidth="1" collapsed="1"/>
    <col min="6" max="7" width="21.42578125" customWidth="1" collapsed="1"/>
    <col min="8" max="8" width="16.28515625" customWidth="1" collapsed="1"/>
    <col min="9" max="9" width="33.5703125" bestFit="1" customWidth="1" collapsed="1"/>
    <col min="10" max="11" width="17.7109375" customWidth="1" collapsed="1"/>
  </cols>
  <sheetData>
    <row r="1" spans="1:11" ht="23.25">
      <c r="A1" s="17" t="s">
        <v>0</v>
      </c>
    </row>
    <row r="2" spans="1:11" ht="18.75">
      <c r="A2" s="1" t="s">
        <v>1301</v>
      </c>
    </row>
    <row r="9" spans="1:11">
      <c r="A9" s="292" t="s">
        <v>54</v>
      </c>
      <c r="B9" s="292"/>
      <c r="C9" s="292"/>
      <c r="D9" s="292"/>
      <c r="E9" s="292"/>
      <c r="F9" s="67"/>
      <c r="G9" s="292" t="s">
        <v>1360</v>
      </c>
      <c r="H9" s="292"/>
      <c r="I9" s="292"/>
      <c r="J9" s="292"/>
      <c r="K9" s="292"/>
    </row>
    <row r="10" spans="1:11">
      <c r="A10" s="233" t="s">
        <v>1304</v>
      </c>
      <c r="B10" s="234"/>
      <c r="C10" s="211" t="str">
        <f>+IF($C$11="TUMBA MUERTO",$A$1,IF($C$11="VÍA ISRAEL",$A$1,IF($C$11="CHORRERA",$A$1,IF($C$11="DAVID",$A$1,""))))</f>
        <v/>
      </c>
      <c r="D10" s="45"/>
      <c r="E10" s="46"/>
      <c r="F10" s="48"/>
      <c r="G10" s="292" t="s">
        <v>1342</v>
      </c>
      <c r="H10" s="292"/>
      <c r="I10" s="292"/>
      <c r="J10" s="292"/>
      <c r="K10" s="292"/>
    </row>
    <row r="11" spans="1:11">
      <c r="A11" s="233" t="s">
        <v>138</v>
      </c>
      <c r="B11" s="234"/>
      <c r="C11" s="82"/>
      <c r="D11" s="45"/>
      <c r="E11" s="46"/>
      <c r="F11" s="48"/>
      <c r="G11" s="233" t="s">
        <v>26</v>
      </c>
      <c r="H11" s="234"/>
      <c r="I11" s="83"/>
      <c r="J11" s="129"/>
      <c r="K11" s="130"/>
    </row>
    <row r="12" spans="1:11">
      <c r="A12" s="240" t="s">
        <v>139</v>
      </c>
      <c r="B12" s="241"/>
      <c r="C12" s="206" t="str">
        <f>+IF($C$11="TUMBA MUERTO",DATOS!$B$2,IF($C$11="VÍA ISRAEL",DATOS!$B$2,IF($C$11="CHORRERA",DATOS!$B$2,IF($C$11="DAVID",DATOS!$B$2,""))))</f>
        <v/>
      </c>
      <c r="D12" s="39"/>
      <c r="E12" s="40"/>
      <c r="F12" s="48"/>
      <c r="G12" s="233" t="s">
        <v>1339</v>
      </c>
      <c r="H12" s="234"/>
      <c r="I12" s="120"/>
      <c r="J12" s="132"/>
      <c r="K12" s="132"/>
    </row>
    <row r="13" spans="1:11">
      <c r="A13" s="240" t="s">
        <v>125</v>
      </c>
      <c r="B13" s="241"/>
      <c r="C13" s="83"/>
      <c r="D13" s="70"/>
      <c r="E13" s="71"/>
      <c r="F13" s="63"/>
      <c r="G13" s="240" t="s">
        <v>1340</v>
      </c>
      <c r="H13" s="241"/>
      <c r="I13" s="120"/>
      <c r="J13" s="132"/>
      <c r="K13" s="132"/>
    </row>
    <row r="14" spans="1:11">
      <c r="A14" s="240" t="s">
        <v>1636</v>
      </c>
      <c r="B14" s="241"/>
      <c r="C14" s="111"/>
      <c r="D14" s="39"/>
      <c r="E14" s="40"/>
      <c r="F14" s="48"/>
      <c r="G14" s="240" t="s">
        <v>1341</v>
      </c>
      <c r="H14" s="241"/>
      <c r="I14" s="120"/>
      <c r="J14" s="130"/>
      <c r="K14" s="130"/>
    </row>
    <row r="15" spans="1:11">
      <c r="A15" s="240" t="s">
        <v>118</v>
      </c>
      <c r="B15" s="241"/>
      <c r="C15" s="111"/>
      <c r="D15" s="39"/>
      <c r="E15" s="40"/>
      <c r="F15" s="48"/>
      <c r="G15" s="240" t="s">
        <v>1344</v>
      </c>
      <c r="H15" s="241"/>
      <c r="I15" s="137"/>
      <c r="J15" s="126"/>
      <c r="K15" s="127"/>
    </row>
    <row r="16" spans="1:11">
      <c r="A16" s="240" t="s">
        <v>119</v>
      </c>
      <c r="B16" s="241"/>
      <c r="C16" s="206" t="str">
        <f>+IF($C$11="TUMBA MUERTO",DATOS!$E$3,IF($C$11="VÍA ISRAEL",DATOS!$E$2,IF($C$11="CHORRERA",DATOS!$E$4,IF($C$11="DAVID",DATOS!$E$5,""))))</f>
        <v/>
      </c>
      <c r="D16" s="39"/>
      <c r="E16" s="40"/>
      <c r="F16" s="48"/>
      <c r="G16" s="292" t="s">
        <v>1343</v>
      </c>
      <c r="H16" s="292"/>
      <c r="I16" s="292"/>
      <c r="J16" s="292"/>
      <c r="K16" s="292"/>
    </row>
    <row r="17" spans="1:11">
      <c r="A17" s="242" t="s">
        <v>1345</v>
      </c>
      <c r="B17" s="243"/>
      <c r="C17" s="206" t="str">
        <f>+IF($C$11="TUMBA MUERTO",DATOS!$E$8,IF($C$11="VÍA ISRAEL",DATOS!$E$8,IF($C$11="CHORRERA",DATOS!$E$8,IF($C$11="DAVID",DATOS!$E$8,""))))</f>
        <v/>
      </c>
      <c r="D17" s="39"/>
      <c r="E17" s="40"/>
      <c r="F17" s="48"/>
      <c r="G17" s="233" t="s">
        <v>26</v>
      </c>
      <c r="H17" s="234"/>
      <c r="I17" s="83"/>
      <c r="J17" s="122"/>
      <c r="K17" s="123"/>
    </row>
    <row r="18" spans="1:11">
      <c r="A18" s="278" t="s">
        <v>126</v>
      </c>
      <c r="B18" s="279"/>
      <c r="C18" s="279"/>
      <c r="D18" s="279"/>
      <c r="E18" s="280"/>
      <c r="F18" s="67"/>
      <c r="G18" s="233" t="s">
        <v>1347</v>
      </c>
      <c r="H18" s="234"/>
      <c r="I18" s="111"/>
      <c r="J18" s="82"/>
      <c r="K18" s="119"/>
    </row>
    <row r="19" spans="1:11">
      <c r="A19" s="309" t="s">
        <v>24</v>
      </c>
      <c r="B19" s="310"/>
      <c r="C19" s="84"/>
      <c r="D19" s="45"/>
      <c r="E19" s="46"/>
      <c r="F19" s="48"/>
      <c r="G19" s="233" t="s">
        <v>1348</v>
      </c>
      <c r="H19" s="234"/>
      <c r="I19" s="111"/>
      <c r="J19" s="111"/>
      <c r="K19" s="120"/>
    </row>
    <row r="20" spans="1:11">
      <c r="A20" s="240" t="s">
        <v>25</v>
      </c>
      <c r="B20" s="241"/>
      <c r="C20" s="85"/>
      <c r="D20" s="39"/>
      <c r="E20" s="40"/>
      <c r="F20" s="48"/>
      <c r="G20" s="233" t="s">
        <v>1349</v>
      </c>
      <c r="H20" s="234"/>
      <c r="I20" s="111"/>
      <c r="J20" s="83"/>
      <c r="K20" s="121"/>
    </row>
    <row r="21" spans="1:11">
      <c r="A21" s="240" t="s">
        <v>27</v>
      </c>
      <c r="B21" s="241"/>
      <c r="C21" s="85"/>
      <c r="D21" s="70"/>
      <c r="E21" s="71"/>
      <c r="F21" s="48"/>
      <c r="G21" s="240" t="s">
        <v>1344</v>
      </c>
      <c r="H21" s="241"/>
      <c r="I21" s="137"/>
      <c r="J21" s="120"/>
      <c r="K21" s="120"/>
    </row>
    <row r="22" spans="1:11">
      <c r="A22" s="240" t="s">
        <v>19</v>
      </c>
      <c r="B22" s="241"/>
      <c r="C22" s="85"/>
      <c r="D22" s="39"/>
      <c r="E22" s="40"/>
      <c r="F22" s="48"/>
      <c r="G22" s="301" t="s">
        <v>1320</v>
      </c>
      <c r="H22" s="302"/>
      <c r="I22" s="302"/>
      <c r="J22" s="144"/>
      <c r="K22" s="144"/>
    </row>
    <row r="23" spans="1:11">
      <c r="A23" s="240" t="s">
        <v>36</v>
      </c>
      <c r="B23" s="241"/>
      <c r="C23" s="85"/>
      <c r="D23" s="39"/>
      <c r="E23" s="40"/>
      <c r="F23" s="48"/>
      <c r="G23" s="240" t="s">
        <v>1373</v>
      </c>
      <c r="H23" s="241"/>
      <c r="I23" s="146"/>
    </row>
    <row r="24" spans="1:11">
      <c r="A24" s="240" t="s">
        <v>39</v>
      </c>
      <c r="B24" s="241"/>
      <c r="C24" s="85"/>
      <c r="D24" s="39"/>
      <c r="E24" s="40"/>
      <c r="F24" s="48"/>
      <c r="G24" s="125" t="s">
        <v>1351</v>
      </c>
      <c r="H24" s="125"/>
      <c r="I24" s="207"/>
    </row>
    <row r="25" spans="1:11">
      <c r="A25" s="240" t="s">
        <v>38</v>
      </c>
      <c r="B25" s="241"/>
      <c r="C25" s="104"/>
      <c r="D25" s="39"/>
      <c r="E25" s="40"/>
      <c r="F25" s="48"/>
      <c r="G25" s="125" t="s">
        <v>1352</v>
      </c>
      <c r="H25" s="125"/>
      <c r="I25" s="145"/>
    </row>
    <row r="26" spans="1:11">
      <c r="A26" s="240" t="s">
        <v>37</v>
      </c>
      <c r="B26" s="241"/>
      <c r="C26" s="104"/>
      <c r="D26" s="45"/>
      <c r="E26" s="46"/>
      <c r="F26" s="48"/>
      <c r="G26" s="306" t="s">
        <v>1350</v>
      </c>
      <c r="H26" s="307"/>
      <c r="I26" s="146"/>
    </row>
    <row r="27" spans="1:11">
      <c r="A27" s="240" t="s">
        <v>127</v>
      </c>
      <c r="B27" s="241"/>
      <c r="C27" s="86"/>
      <c r="D27" s="39"/>
      <c r="E27" s="40"/>
      <c r="F27" s="68"/>
      <c r="G27" s="278" t="s">
        <v>1328</v>
      </c>
      <c r="H27" s="279"/>
      <c r="I27" s="280"/>
    </row>
    <row r="28" spans="1:11">
      <c r="A28" s="240" t="s">
        <v>1292</v>
      </c>
      <c r="B28" s="241"/>
      <c r="C28" s="85"/>
      <c r="D28" s="70"/>
      <c r="E28" s="71"/>
      <c r="F28" s="48"/>
      <c r="G28" s="306" t="s">
        <v>1353</v>
      </c>
      <c r="H28" s="307"/>
      <c r="I28" s="146" t="str">
        <f>+IF($C$13&gt;0,"SUCURSAL","")</f>
        <v/>
      </c>
    </row>
    <row r="29" spans="1:11">
      <c r="A29" s="242" t="s">
        <v>1309</v>
      </c>
      <c r="B29" s="243"/>
      <c r="C29" s="111"/>
      <c r="D29" s="39"/>
      <c r="E29" s="40"/>
      <c r="F29" s="16"/>
      <c r="G29" s="306" t="s">
        <v>1354</v>
      </c>
      <c r="H29" s="307"/>
      <c r="I29" s="146">
        <f>+C11</f>
        <v>0</v>
      </c>
    </row>
    <row r="30" spans="1:11">
      <c r="A30" s="278" t="s">
        <v>1295</v>
      </c>
      <c r="B30" s="279"/>
      <c r="C30" s="279"/>
      <c r="D30" s="279"/>
      <c r="E30" s="280"/>
      <c r="F30" s="67"/>
      <c r="G30" s="306" t="s">
        <v>1355</v>
      </c>
      <c r="H30" s="307"/>
      <c r="I30" s="146" t="str">
        <f>+C12</f>
        <v/>
      </c>
    </row>
    <row r="31" spans="1:11">
      <c r="A31" s="233" t="s">
        <v>55</v>
      </c>
      <c r="B31" s="234"/>
      <c r="C31" s="133"/>
      <c r="D31" s="87"/>
      <c r="E31" s="88"/>
      <c r="F31" s="48"/>
      <c r="G31" s="306" t="s">
        <v>1356</v>
      </c>
      <c r="H31" s="307"/>
      <c r="I31" s="146" t="str">
        <f>+C12</f>
        <v/>
      </c>
    </row>
    <row r="32" spans="1:11">
      <c r="A32" s="240" t="s">
        <v>56</v>
      </c>
      <c r="B32" s="241"/>
      <c r="C32" s="133"/>
      <c r="D32" s="89"/>
      <c r="E32" s="90"/>
      <c r="F32" s="48"/>
      <c r="G32" s="306" t="s">
        <v>1357</v>
      </c>
      <c r="H32" s="307"/>
      <c r="I32" s="146" t="str">
        <f>+IF(I29="VÍA ISRAEL",DATOS!A47,IF(I29="TUMBA MUERTO",DATOS!A46,""))</f>
        <v/>
      </c>
    </row>
    <row r="33" spans="1:11">
      <c r="A33" s="240" t="s">
        <v>57</v>
      </c>
      <c r="B33" s="241"/>
      <c r="C33" s="133"/>
      <c r="D33" s="87"/>
      <c r="E33" s="88"/>
      <c r="F33" s="48"/>
      <c r="G33" s="306" t="s">
        <v>1358</v>
      </c>
      <c r="H33" s="307"/>
      <c r="I33" s="146" t="str">
        <f>+IF(I15+I21&gt;0,"AUTOMARKET","")</f>
        <v/>
      </c>
    </row>
    <row r="34" spans="1:11">
      <c r="A34" s="240" t="s">
        <v>58</v>
      </c>
      <c r="B34" s="241"/>
      <c r="C34" s="133"/>
      <c r="D34" s="87"/>
      <c r="E34" s="88"/>
      <c r="F34" s="48"/>
      <c r="G34" s="313" t="s">
        <v>1359</v>
      </c>
      <c r="H34" s="314"/>
      <c r="I34" s="147" t="str">
        <f>+IF(I15+I21&gt;0,"PLANTA BAJA","")</f>
        <v/>
      </c>
    </row>
    <row r="35" spans="1:11">
      <c r="A35" s="240" t="s">
        <v>59</v>
      </c>
      <c r="B35" s="241"/>
      <c r="C35" s="133"/>
      <c r="D35" s="87"/>
      <c r="E35" s="88"/>
      <c r="F35" s="48"/>
      <c r="G35" s="308" t="s">
        <v>1332</v>
      </c>
      <c r="H35" s="308"/>
      <c r="I35" s="308"/>
    </row>
    <row r="36" spans="1:11">
      <c r="A36" s="281" t="s">
        <v>60</v>
      </c>
      <c r="B36" s="305"/>
      <c r="C36" s="134"/>
      <c r="D36" s="87"/>
      <c r="E36" s="88"/>
      <c r="F36" s="16"/>
      <c r="G36" s="213" t="s">
        <v>55</v>
      </c>
      <c r="H36" s="213"/>
      <c r="I36" s="146"/>
    </row>
    <row r="37" spans="1:11">
      <c r="A37" s="240" t="s">
        <v>1296</v>
      </c>
      <c r="B37" s="241"/>
      <c r="C37" s="135"/>
      <c r="D37" s="91"/>
      <c r="E37" s="92"/>
      <c r="F37" s="69"/>
      <c r="G37" s="213" t="s">
        <v>1397</v>
      </c>
      <c r="H37" s="213"/>
      <c r="I37" s="146"/>
    </row>
    <row r="38" spans="1:11">
      <c r="A38" s="240" t="s">
        <v>62</v>
      </c>
      <c r="B38" s="241"/>
      <c r="C38" s="133"/>
      <c r="D38" s="87"/>
      <c r="E38" s="88"/>
      <c r="F38" s="48"/>
      <c r="G38" s="213" t="s">
        <v>1398</v>
      </c>
      <c r="H38" s="213"/>
      <c r="I38" s="146"/>
    </row>
    <row r="39" spans="1:11">
      <c r="A39" s="240" t="s">
        <v>63</v>
      </c>
      <c r="B39" s="241"/>
      <c r="C39" s="133"/>
      <c r="D39" s="89"/>
      <c r="E39" s="90"/>
      <c r="F39" s="48"/>
      <c r="G39" s="213" t="s">
        <v>1351</v>
      </c>
      <c r="H39" s="213"/>
      <c r="I39" s="146"/>
    </row>
    <row r="40" spans="1:11">
      <c r="A40" s="240" t="s">
        <v>64</v>
      </c>
      <c r="B40" s="241"/>
      <c r="C40" s="135"/>
      <c r="D40" s="87"/>
      <c r="E40" s="88"/>
      <c r="F40" s="48"/>
      <c r="G40" s="213" t="s">
        <v>1352</v>
      </c>
      <c r="H40" s="213"/>
      <c r="I40" s="149"/>
    </row>
    <row r="41" spans="1:11">
      <c r="A41" s="240" t="s">
        <v>65</v>
      </c>
      <c r="B41" s="241"/>
      <c r="C41" s="133"/>
      <c r="D41" s="91"/>
      <c r="E41" s="92"/>
      <c r="F41" s="48"/>
      <c r="G41" s="213" t="s">
        <v>1355</v>
      </c>
      <c r="H41" s="213"/>
      <c r="I41" s="149"/>
    </row>
    <row r="42" spans="1:11">
      <c r="A42" s="240" t="s">
        <v>128</v>
      </c>
      <c r="B42" s="311"/>
      <c r="C42" s="134"/>
      <c r="D42" s="87"/>
      <c r="E42" s="88"/>
      <c r="F42" s="48"/>
      <c r="G42" s="213" t="s">
        <v>1356</v>
      </c>
      <c r="H42" s="213"/>
      <c r="I42" s="149"/>
    </row>
    <row r="43" spans="1:11">
      <c r="A43" s="213" t="s">
        <v>1371</v>
      </c>
      <c r="B43" s="213"/>
      <c r="C43" s="134"/>
      <c r="D43" s="87"/>
      <c r="E43" s="88"/>
      <c r="F43" s="48"/>
      <c r="G43" s="213" t="s">
        <v>1357</v>
      </c>
      <c r="H43" s="213"/>
      <c r="I43" s="145"/>
    </row>
    <row r="44" spans="1:11">
      <c r="A44" s="213" t="s">
        <v>1356</v>
      </c>
      <c r="B44" s="213"/>
      <c r="C44" s="134"/>
      <c r="D44" s="87"/>
      <c r="E44" s="88"/>
      <c r="F44" s="48"/>
      <c r="G44" s="213" t="s">
        <v>1370</v>
      </c>
      <c r="H44" s="213"/>
      <c r="I44" s="145"/>
    </row>
    <row r="45" spans="1:11">
      <c r="A45" s="304" t="s">
        <v>1357</v>
      </c>
      <c r="B45" s="304"/>
      <c r="C45" s="134"/>
      <c r="D45" s="87"/>
      <c r="E45" s="88"/>
      <c r="F45" s="48"/>
      <c r="G45" s="213" t="s">
        <v>1358</v>
      </c>
      <c r="H45" s="213"/>
      <c r="I45" s="145"/>
    </row>
    <row r="46" spans="1:11">
      <c r="A46" s="304" t="s">
        <v>1370</v>
      </c>
      <c r="B46" s="304"/>
      <c r="C46" s="134"/>
      <c r="D46" s="87"/>
      <c r="E46" s="88"/>
      <c r="F46" s="48"/>
      <c r="G46" s="213" t="s">
        <v>1369</v>
      </c>
      <c r="H46" s="213"/>
      <c r="I46" s="149"/>
    </row>
    <row r="47" spans="1:11">
      <c r="A47" s="304" t="s">
        <v>1358</v>
      </c>
      <c r="B47" s="304"/>
      <c r="C47" s="134"/>
      <c r="D47" s="87"/>
      <c r="E47" s="88"/>
      <c r="F47" s="48"/>
      <c r="G47" s="312" t="s">
        <v>126</v>
      </c>
      <c r="H47" s="312"/>
      <c r="I47" s="312"/>
      <c r="J47" s="312"/>
      <c r="K47" s="312"/>
    </row>
    <row r="48" spans="1:11">
      <c r="A48" s="304" t="s">
        <v>1369</v>
      </c>
      <c r="B48" s="304"/>
      <c r="C48" s="134"/>
      <c r="D48" s="87"/>
      <c r="E48" s="88"/>
      <c r="F48" s="48"/>
      <c r="G48" s="238" t="s">
        <v>24</v>
      </c>
      <c r="H48" s="239"/>
      <c r="I48" s="208">
        <f>+C19</f>
        <v>0</v>
      </c>
      <c r="J48" s="122"/>
      <c r="K48" s="123"/>
    </row>
    <row r="49" spans="1:11">
      <c r="A49" s="240" t="s">
        <v>68</v>
      </c>
      <c r="B49" s="241"/>
      <c r="C49" s="85"/>
      <c r="D49" s="39"/>
      <c r="E49" s="40"/>
      <c r="F49" s="48"/>
      <c r="G49" s="238" t="s">
        <v>25</v>
      </c>
      <c r="H49" s="239"/>
      <c r="I49" s="208">
        <f>+C20</f>
        <v>0</v>
      </c>
      <c r="J49" s="82"/>
      <c r="K49" s="119"/>
    </row>
    <row r="50" spans="1:11">
      <c r="A50" s="240" t="s">
        <v>69</v>
      </c>
      <c r="B50" s="241"/>
      <c r="C50" s="174"/>
      <c r="D50" s="39"/>
      <c r="E50" s="40"/>
      <c r="F50" s="48"/>
      <c r="G50" s="238" t="s">
        <v>27</v>
      </c>
      <c r="H50" s="239"/>
      <c r="I50" s="209">
        <f>+C21</f>
        <v>0</v>
      </c>
      <c r="J50" s="111"/>
      <c r="K50" s="120"/>
    </row>
    <row r="51" spans="1:11">
      <c r="A51" s="240" t="s">
        <v>70</v>
      </c>
      <c r="B51" s="241"/>
      <c r="C51" s="85"/>
      <c r="D51" s="39"/>
      <c r="E51" s="40"/>
      <c r="F51" s="48"/>
      <c r="G51" s="238" t="s">
        <v>1390</v>
      </c>
      <c r="H51" s="239"/>
      <c r="I51" s="209">
        <f>+C25</f>
        <v>0</v>
      </c>
      <c r="J51" s="83"/>
      <c r="K51" s="121"/>
    </row>
    <row r="52" spans="1:11">
      <c r="A52" s="240" t="s">
        <v>71</v>
      </c>
      <c r="B52" s="241"/>
      <c r="C52" s="85"/>
      <c r="D52" s="39"/>
      <c r="E52" s="40"/>
      <c r="F52" s="48"/>
      <c r="G52" s="238" t="s">
        <v>1391</v>
      </c>
      <c r="H52" s="239"/>
      <c r="I52" s="209">
        <f>+C26</f>
        <v>0</v>
      </c>
      <c r="J52" s="111"/>
      <c r="K52" s="120"/>
    </row>
    <row r="53" spans="1:11">
      <c r="A53" s="242" t="s">
        <v>72</v>
      </c>
      <c r="B53" s="243"/>
      <c r="C53" s="174"/>
      <c r="D53" s="45"/>
      <c r="E53" s="46"/>
      <c r="F53" s="48"/>
      <c r="G53" s="238" t="s">
        <v>1392</v>
      </c>
      <c r="H53" s="239"/>
      <c r="I53" s="208">
        <f>+C22</f>
        <v>0</v>
      </c>
      <c r="J53" s="111"/>
      <c r="K53" s="120"/>
    </row>
    <row r="54" spans="1:11">
      <c r="A54" s="278" t="s">
        <v>73</v>
      </c>
      <c r="B54" s="279"/>
      <c r="C54" s="279"/>
      <c r="D54" s="279"/>
      <c r="E54" s="280"/>
      <c r="F54" s="67"/>
      <c r="G54" s="238" t="s">
        <v>39</v>
      </c>
      <c r="H54" s="239"/>
      <c r="I54" s="208">
        <f>+C24</f>
        <v>0</v>
      </c>
      <c r="J54" s="111"/>
      <c r="K54" s="120"/>
    </row>
    <row r="55" spans="1:11">
      <c r="A55" s="233" t="s">
        <v>74</v>
      </c>
      <c r="B55" s="234"/>
      <c r="C55" s="93"/>
      <c r="D55" s="107"/>
      <c r="E55" s="108"/>
      <c r="F55" s="48"/>
    </row>
    <row r="56" spans="1:11">
      <c r="A56" s="240" t="s">
        <v>75</v>
      </c>
      <c r="B56" s="241"/>
      <c r="C56" s="93"/>
      <c r="D56" s="107"/>
      <c r="E56" s="108"/>
      <c r="F56" s="48"/>
      <c r="G56" s="48"/>
    </row>
    <row r="57" spans="1:11">
      <c r="A57" s="240" t="s">
        <v>76</v>
      </c>
      <c r="B57" s="241"/>
      <c r="C57" s="93"/>
      <c r="D57" s="107"/>
      <c r="E57" s="108"/>
      <c r="F57" s="48"/>
      <c r="G57" s="48"/>
    </row>
    <row r="58" spans="1:11" ht="55.5" customHeight="1">
      <c r="A58" s="281" t="s">
        <v>77</v>
      </c>
      <c r="B58" s="282"/>
      <c r="C58" s="289"/>
      <c r="D58" s="290"/>
      <c r="E58" s="291"/>
      <c r="F58" s="48"/>
      <c r="G58" s="48"/>
    </row>
    <row r="59" spans="1:11">
      <c r="A59" s="240" t="s">
        <v>68</v>
      </c>
      <c r="B59" s="241"/>
      <c r="C59" s="85"/>
      <c r="D59" s="107"/>
      <c r="E59" s="108"/>
      <c r="F59" s="48"/>
      <c r="G59" s="48"/>
    </row>
    <row r="60" spans="1:11">
      <c r="A60" s="240" t="s">
        <v>78</v>
      </c>
      <c r="B60" s="241"/>
      <c r="C60" s="93"/>
      <c r="D60" s="107"/>
      <c r="E60" s="108"/>
      <c r="F60" s="48"/>
      <c r="G60" s="48"/>
    </row>
    <row r="61" spans="1:11">
      <c r="A61" s="240" t="s">
        <v>72</v>
      </c>
      <c r="B61" s="241"/>
      <c r="C61" s="93"/>
      <c r="D61" s="107"/>
      <c r="E61" s="108"/>
      <c r="F61" s="48"/>
      <c r="G61" s="48"/>
    </row>
    <row r="62" spans="1:11">
      <c r="A62" s="242" t="s">
        <v>69</v>
      </c>
      <c r="B62" s="243"/>
      <c r="C62" s="174"/>
      <c r="D62" s="45"/>
      <c r="E62" s="46"/>
      <c r="F62" s="48"/>
      <c r="G62" s="48"/>
    </row>
    <row r="63" spans="1:11">
      <c r="A63" s="301" t="s">
        <v>79</v>
      </c>
      <c r="B63" s="302"/>
      <c r="C63" s="302"/>
      <c r="D63" s="302"/>
      <c r="E63" s="302"/>
      <c r="F63" s="302"/>
      <c r="G63" s="303"/>
    </row>
    <row r="64" spans="1:11" ht="20.25">
      <c r="A64" s="285" t="s">
        <v>80</v>
      </c>
      <c r="B64" s="284"/>
      <c r="C64" s="284"/>
      <c r="D64" s="284"/>
      <c r="E64" s="286"/>
      <c r="F64" s="50" t="s">
        <v>129</v>
      </c>
      <c r="G64" s="94"/>
    </row>
    <row r="65" spans="1:7" ht="20.25">
      <c r="A65" s="287"/>
      <c r="B65" s="262"/>
      <c r="C65" s="262"/>
      <c r="D65" s="262"/>
      <c r="E65" s="288"/>
      <c r="F65" s="64" t="s">
        <v>130</v>
      </c>
      <c r="G65" s="95"/>
    </row>
    <row r="66" spans="1:7">
      <c r="A66" s="278" t="s">
        <v>81</v>
      </c>
      <c r="B66" s="279"/>
      <c r="C66" s="279"/>
      <c r="D66" s="279"/>
      <c r="E66" s="279"/>
      <c r="F66" s="279"/>
      <c r="G66" s="280"/>
    </row>
    <row r="67" spans="1:7" ht="24" customHeight="1">
      <c r="A67" s="283" t="s">
        <v>82</v>
      </c>
      <c r="B67" s="284"/>
      <c r="C67" s="284"/>
      <c r="D67" s="284"/>
      <c r="E67" s="284"/>
      <c r="F67" s="50" t="s">
        <v>129</v>
      </c>
      <c r="G67" s="94"/>
    </row>
    <row r="68" spans="1:7" ht="24" customHeight="1">
      <c r="A68" s="261"/>
      <c r="B68" s="262"/>
      <c r="C68" s="262"/>
      <c r="D68" s="262"/>
      <c r="E68" s="262"/>
      <c r="F68" s="64" t="s">
        <v>130</v>
      </c>
      <c r="G68" s="95"/>
    </row>
    <row r="69" spans="1:7">
      <c r="A69" s="278" t="s">
        <v>131</v>
      </c>
      <c r="B69" s="279"/>
      <c r="C69" s="279"/>
      <c r="D69" s="279"/>
      <c r="E69" s="279"/>
      <c r="F69" s="279"/>
      <c r="G69" s="280"/>
    </row>
    <row r="70" spans="1:7" ht="38.25" customHeight="1">
      <c r="A70" s="249" t="s">
        <v>97</v>
      </c>
      <c r="B70" s="251"/>
      <c r="C70" s="256"/>
      <c r="D70" s="257"/>
      <c r="E70" s="257"/>
      <c r="F70" s="257"/>
      <c r="G70" s="258"/>
    </row>
    <row r="71" spans="1:7" ht="20.25" customHeight="1">
      <c r="A71" s="263" t="s">
        <v>85</v>
      </c>
      <c r="B71" s="264"/>
      <c r="C71" s="264"/>
      <c r="D71" s="264"/>
      <c r="E71" s="264"/>
      <c r="F71" s="264"/>
      <c r="G71" s="265"/>
    </row>
    <row r="72" spans="1:7" ht="20.25">
      <c r="A72" s="259" t="s">
        <v>1284</v>
      </c>
      <c r="B72" s="260"/>
      <c r="C72" s="260"/>
      <c r="D72" s="260"/>
      <c r="E72" s="260"/>
      <c r="F72" s="50" t="s">
        <v>129</v>
      </c>
      <c r="G72" s="94"/>
    </row>
    <row r="73" spans="1:7" ht="20.25">
      <c r="A73" s="261"/>
      <c r="B73" s="262"/>
      <c r="C73" s="262"/>
      <c r="D73" s="262"/>
      <c r="E73" s="262"/>
      <c r="F73" s="64" t="s">
        <v>130</v>
      </c>
      <c r="G73" s="95"/>
    </row>
    <row r="74" spans="1:7">
      <c r="A74" s="278" t="s">
        <v>132</v>
      </c>
      <c r="B74" s="279"/>
      <c r="C74" s="279"/>
      <c r="D74" s="279"/>
      <c r="E74" s="279"/>
      <c r="F74" s="279"/>
      <c r="G74" s="280"/>
    </row>
    <row r="75" spans="1:7" ht="19.5" customHeight="1">
      <c r="A75" s="266" t="s">
        <v>88</v>
      </c>
      <c r="B75" s="267"/>
      <c r="C75" s="267"/>
      <c r="D75" s="267"/>
      <c r="E75" s="267"/>
      <c r="F75" s="65" t="s">
        <v>129</v>
      </c>
      <c r="G75" s="96"/>
    </row>
    <row r="76" spans="1:7" ht="19.5" customHeight="1">
      <c r="A76" s="268"/>
      <c r="B76" s="269"/>
      <c r="C76" s="269"/>
      <c r="D76" s="269"/>
      <c r="E76" s="269"/>
      <c r="F76" s="51" t="s">
        <v>130</v>
      </c>
      <c r="G76" s="94"/>
    </row>
    <row r="77" spans="1:7" ht="34.5" customHeight="1">
      <c r="A77" s="270" t="s">
        <v>89</v>
      </c>
      <c r="B77" s="271"/>
      <c r="C77" s="252"/>
      <c r="D77" s="253"/>
      <c r="E77" s="253"/>
      <c r="F77" s="253"/>
      <c r="G77" s="254"/>
    </row>
    <row r="78" spans="1:7" ht="15" customHeight="1">
      <c r="A78" s="263" t="s">
        <v>1372</v>
      </c>
      <c r="B78" s="264"/>
      <c r="C78" s="264"/>
      <c r="D78" s="264"/>
      <c r="E78" s="264"/>
      <c r="F78" s="264"/>
      <c r="G78" s="265"/>
    </row>
    <row r="79" spans="1:7" ht="24.75" customHeight="1">
      <c r="A79" s="247" t="s">
        <v>1291</v>
      </c>
      <c r="B79" s="248"/>
      <c r="C79" s="66" t="s">
        <v>91</v>
      </c>
      <c r="D79" s="295" t="s">
        <v>92</v>
      </c>
      <c r="E79" s="296"/>
      <c r="F79" s="72" t="s">
        <v>93</v>
      </c>
      <c r="G79" s="73" t="s">
        <v>94</v>
      </c>
    </row>
    <row r="80" spans="1:7" ht="28.5" customHeight="1">
      <c r="A80" s="249"/>
      <c r="B80" s="250"/>
      <c r="C80" s="97"/>
      <c r="D80" s="297"/>
      <c r="E80" s="298"/>
      <c r="F80" s="98"/>
      <c r="G80" s="98"/>
    </row>
    <row r="81" spans="1:7" ht="24.75" customHeight="1">
      <c r="A81" s="247" t="s">
        <v>1293</v>
      </c>
      <c r="B81" s="248"/>
      <c r="C81" s="66" t="s">
        <v>91</v>
      </c>
      <c r="D81" s="295" t="s">
        <v>92</v>
      </c>
      <c r="E81" s="296"/>
      <c r="F81" s="72" t="s">
        <v>93</v>
      </c>
      <c r="G81" s="73" t="s">
        <v>94</v>
      </c>
    </row>
    <row r="82" spans="1:7" ht="28.5" customHeight="1">
      <c r="A82" s="293"/>
      <c r="B82" s="294"/>
      <c r="C82" s="99"/>
      <c r="D82" s="299"/>
      <c r="E82" s="300"/>
      <c r="F82" s="94"/>
      <c r="G82" s="98"/>
    </row>
    <row r="83" spans="1:7">
      <c r="A83" s="274" t="s">
        <v>95</v>
      </c>
      <c r="B83" s="275"/>
      <c r="C83" s="276"/>
      <c r="D83" s="276"/>
      <c r="E83" s="277"/>
      <c r="F83" s="67"/>
      <c r="G83" s="67"/>
    </row>
    <row r="84" spans="1:7">
      <c r="A84" s="75" t="s">
        <v>112</v>
      </c>
      <c r="B84" s="76"/>
      <c r="C84" s="225"/>
      <c r="D84" s="225"/>
      <c r="E84" s="226"/>
      <c r="F84" s="16"/>
      <c r="G84" s="16"/>
    </row>
    <row r="85" spans="1:7">
      <c r="A85" s="75" t="s">
        <v>133</v>
      </c>
      <c r="B85" s="76"/>
      <c r="C85" s="272"/>
      <c r="D85" s="225"/>
      <c r="E85" s="226"/>
      <c r="F85" s="16"/>
      <c r="G85" s="16"/>
    </row>
    <row r="86" spans="1:7">
      <c r="A86" s="75" t="s">
        <v>134</v>
      </c>
      <c r="B86" s="76"/>
      <c r="C86" s="272"/>
      <c r="D86" s="225"/>
      <c r="E86" s="226"/>
      <c r="F86" s="16"/>
      <c r="G86" s="16"/>
    </row>
    <row r="87" spans="1:7">
      <c r="A87" s="75" t="s">
        <v>98</v>
      </c>
      <c r="B87" s="76"/>
      <c r="C87" s="255"/>
      <c r="D87" s="245"/>
      <c r="E87" s="246"/>
      <c r="F87" s="16"/>
      <c r="G87" s="16"/>
    </row>
    <row r="88" spans="1:7">
      <c r="A88" s="274" t="s">
        <v>99</v>
      </c>
      <c r="B88" s="275"/>
      <c r="C88" s="276"/>
      <c r="D88" s="276"/>
      <c r="E88" s="277"/>
      <c r="F88" s="67"/>
      <c r="G88" s="67"/>
    </row>
    <row r="89" spans="1:7">
      <c r="A89" s="75" t="s">
        <v>1373</v>
      </c>
      <c r="B89" s="76"/>
      <c r="C89" s="225"/>
      <c r="D89" s="225"/>
      <c r="E89" s="226"/>
      <c r="F89" s="16"/>
      <c r="G89" s="16"/>
    </row>
    <row r="90" spans="1:7">
      <c r="A90" s="41" t="s">
        <v>1374</v>
      </c>
      <c r="B90" s="75"/>
      <c r="C90" s="272"/>
      <c r="D90" s="225"/>
      <c r="E90" s="226"/>
      <c r="F90" s="16"/>
      <c r="G90" s="16"/>
    </row>
    <row r="91" spans="1:7">
      <c r="A91" s="42" t="s">
        <v>69</v>
      </c>
      <c r="B91" s="75"/>
      <c r="C91" s="273"/>
      <c r="D91" s="225"/>
      <c r="E91" s="226"/>
      <c r="F91" s="16"/>
      <c r="G91" s="16"/>
    </row>
    <row r="92" spans="1:7">
      <c r="A92" s="75" t="s">
        <v>1375</v>
      </c>
      <c r="B92" s="75"/>
      <c r="C92" s="255"/>
      <c r="D92" s="245"/>
      <c r="E92" s="246"/>
      <c r="F92" s="16"/>
      <c r="G92" s="16"/>
    </row>
    <row r="93" spans="1:7">
      <c r="A93" s="274" t="s">
        <v>101</v>
      </c>
      <c r="B93" s="275"/>
      <c r="C93" s="276"/>
      <c r="D93" s="276"/>
      <c r="E93" s="277"/>
      <c r="F93" s="67"/>
      <c r="G93" s="67"/>
    </row>
    <row r="94" spans="1:7">
      <c r="A94" s="75" t="s">
        <v>1376</v>
      </c>
      <c r="B94" s="76"/>
      <c r="C94" s="224"/>
      <c r="D94" s="225"/>
      <c r="E94" s="226"/>
      <c r="F94" s="16"/>
      <c r="G94" s="16"/>
    </row>
    <row r="95" spans="1:7">
      <c r="A95" s="75" t="s">
        <v>1377</v>
      </c>
      <c r="B95" s="76"/>
      <c r="C95" s="224"/>
      <c r="D95" s="225"/>
      <c r="E95" s="226"/>
      <c r="F95" s="16"/>
      <c r="G95" s="16"/>
    </row>
    <row r="96" spans="1:7">
      <c r="A96" s="75" t="s">
        <v>135</v>
      </c>
      <c r="B96" s="76"/>
      <c r="C96" s="224"/>
      <c r="D96" s="225"/>
      <c r="E96" s="226"/>
      <c r="F96" s="74"/>
      <c r="G96" s="74"/>
    </row>
    <row r="97" spans="1:8">
      <c r="A97" s="75" t="s">
        <v>1375</v>
      </c>
      <c r="B97" s="76"/>
      <c r="C97" s="244"/>
      <c r="D97" s="245"/>
      <c r="E97" s="246"/>
      <c r="F97" s="16"/>
      <c r="G97" s="16"/>
    </row>
    <row r="98" spans="1:8">
      <c r="A98" s="235" t="s">
        <v>1303</v>
      </c>
      <c r="B98" s="236"/>
      <c r="C98" s="236"/>
      <c r="D98" s="236"/>
      <c r="E98" s="236"/>
      <c r="F98" s="236"/>
      <c r="G98" s="237"/>
    </row>
    <row r="99" spans="1:8" ht="15" customHeight="1">
      <c r="A99" s="217" t="s">
        <v>102</v>
      </c>
      <c r="B99" s="218"/>
      <c r="C99" s="218"/>
      <c r="D99" s="218"/>
      <c r="E99" s="218"/>
      <c r="F99" s="218"/>
      <c r="G99" s="219"/>
    </row>
    <row r="100" spans="1:8" ht="15" customHeight="1">
      <c r="A100" s="100"/>
      <c r="B100" s="222" t="s">
        <v>1286</v>
      </c>
      <c r="C100" s="223"/>
      <c r="D100" s="100"/>
      <c r="E100" s="220" t="s">
        <v>115</v>
      </c>
      <c r="F100" s="221"/>
      <c r="G100" s="222"/>
      <c r="H100" s="6"/>
    </row>
    <row r="101" spans="1:8" ht="15" customHeight="1">
      <c r="A101" s="100"/>
      <c r="B101" s="222" t="s">
        <v>1288</v>
      </c>
      <c r="C101" s="223"/>
      <c r="D101" s="100"/>
      <c r="E101" s="220" t="s">
        <v>116</v>
      </c>
      <c r="F101" s="221"/>
      <c r="G101" s="222"/>
    </row>
    <row r="102" spans="1:8" ht="15" customHeight="1">
      <c r="A102" s="100"/>
      <c r="B102" s="222" t="s">
        <v>1289</v>
      </c>
      <c r="C102" s="223"/>
      <c r="D102" s="100"/>
      <c r="E102" s="220" t="s">
        <v>117</v>
      </c>
      <c r="F102" s="221"/>
      <c r="G102" s="222"/>
    </row>
    <row r="103" spans="1:8" ht="15" customHeight="1">
      <c r="A103" s="100"/>
      <c r="B103" s="222" t="s">
        <v>1287</v>
      </c>
      <c r="C103" s="223"/>
      <c r="D103" s="100"/>
      <c r="E103" s="220" t="s">
        <v>101</v>
      </c>
      <c r="F103" s="221"/>
      <c r="G103" s="222"/>
    </row>
    <row r="104" spans="1:8" ht="15" customHeight="1">
      <c r="A104" s="100"/>
      <c r="B104" s="222" t="s">
        <v>113</v>
      </c>
      <c r="C104" s="223"/>
      <c r="D104" s="100"/>
      <c r="E104" s="220" t="s">
        <v>95</v>
      </c>
      <c r="F104" s="221"/>
      <c r="G104" s="222"/>
    </row>
    <row r="105" spans="1:8" ht="15.75">
      <c r="A105" s="100"/>
      <c r="B105" s="222" t="s">
        <v>114</v>
      </c>
      <c r="C105" s="223"/>
      <c r="D105" s="100"/>
      <c r="E105" s="220" t="s">
        <v>99</v>
      </c>
      <c r="F105" s="221"/>
      <c r="G105" s="222"/>
    </row>
    <row r="106" spans="1:8" ht="15.75" customHeight="1">
      <c r="A106" s="217" t="s">
        <v>1307</v>
      </c>
      <c r="B106" s="218"/>
      <c r="C106" s="218"/>
      <c r="D106" s="218"/>
      <c r="E106" s="218"/>
      <c r="F106" s="218"/>
      <c r="G106" s="219"/>
    </row>
    <row r="107" spans="1:8" ht="15.75" customHeight="1">
      <c r="A107" s="100"/>
      <c r="B107" s="214" t="s">
        <v>44</v>
      </c>
      <c r="C107" s="216"/>
      <c r="D107" s="100"/>
      <c r="E107" s="214"/>
      <c r="F107" s="215"/>
      <c r="G107" s="216"/>
    </row>
    <row r="108" spans="1:8" ht="15.75" hidden="1" customHeight="1">
      <c r="A108" s="100"/>
      <c r="B108" s="214" t="s">
        <v>1</v>
      </c>
      <c r="C108" s="216"/>
      <c r="D108" s="100"/>
      <c r="E108" s="214" t="s">
        <v>35</v>
      </c>
      <c r="F108" s="215"/>
      <c r="G108" s="216"/>
    </row>
    <row r="109" spans="1:8" ht="15" hidden="1" customHeight="1">
      <c r="A109" s="100"/>
      <c r="B109" s="214" t="s">
        <v>2</v>
      </c>
      <c r="C109" s="216"/>
      <c r="D109" s="100"/>
      <c r="E109" s="214" t="s">
        <v>46</v>
      </c>
      <c r="F109" s="215"/>
      <c r="G109" s="216"/>
    </row>
    <row r="110" spans="1:8" ht="15" hidden="1" customHeight="1">
      <c r="A110" s="100"/>
      <c r="B110" s="214" t="s">
        <v>42</v>
      </c>
      <c r="C110" s="216"/>
      <c r="D110" s="100"/>
      <c r="E110" s="214" t="s">
        <v>13</v>
      </c>
      <c r="F110" s="215"/>
      <c r="G110" s="216"/>
    </row>
    <row r="111" spans="1:8" ht="15" hidden="1" customHeight="1">
      <c r="A111" s="100"/>
      <c r="B111" s="214" t="s">
        <v>43</v>
      </c>
      <c r="C111" s="216"/>
      <c r="D111" s="100"/>
      <c r="E111" s="214" t="s">
        <v>122</v>
      </c>
      <c r="F111" s="215"/>
      <c r="G111" s="216"/>
    </row>
    <row r="112" spans="1:8" ht="15" hidden="1" customHeight="1">
      <c r="A112" s="100"/>
      <c r="B112" s="214" t="s">
        <v>45</v>
      </c>
      <c r="C112" s="216"/>
      <c r="D112" s="100"/>
      <c r="E112" s="214" t="s">
        <v>3</v>
      </c>
      <c r="F112" s="215"/>
      <c r="G112" s="216"/>
    </row>
    <row r="113" spans="1:7" ht="15" hidden="1" customHeight="1">
      <c r="A113" s="230" t="s">
        <v>1308</v>
      </c>
      <c r="B113" s="231"/>
      <c r="C113" s="231"/>
      <c r="D113" s="231"/>
      <c r="E113" s="231"/>
      <c r="F113" s="231"/>
      <c r="G113" s="232"/>
    </row>
    <row r="114" spans="1:7" ht="15" hidden="1" customHeight="1">
      <c r="A114" s="217" t="s">
        <v>1297</v>
      </c>
      <c r="B114" s="218"/>
      <c r="C114" s="219"/>
      <c r="D114" s="217" t="s">
        <v>124</v>
      </c>
      <c r="E114" s="218"/>
      <c r="F114" s="218"/>
      <c r="G114" s="219"/>
    </row>
    <row r="115" spans="1:7" ht="15" hidden="1" customHeight="1">
      <c r="A115" s="100"/>
      <c r="B115" s="214" t="s">
        <v>34</v>
      </c>
      <c r="C115" s="216"/>
      <c r="D115" s="100"/>
      <c r="E115" s="227" t="s">
        <v>4</v>
      </c>
      <c r="F115" s="228"/>
      <c r="G115" s="229"/>
    </row>
    <row r="116" spans="1:7" ht="15" hidden="1" customHeight="1">
      <c r="A116" s="100"/>
      <c r="B116" s="214" t="s">
        <v>33</v>
      </c>
      <c r="C116" s="216"/>
      <c r="D116" s="100"/>
      <c r="E116" s="227" t="s">
        <v>5</v>
      </c>
      <c r="F116" s="228"/>
      <c r="G116" s="229"/>
    </row>
    <row r="117" spans="1:7" ht="15" hidden="1" customHeight="1">
      <c r="A117" s="100"/>
      <c r="B117" s="214" t="s">
        <v>4</v>
      </c>
      <c r="C117" s="216"/>
      <c r="D117" s="100"/>
      <c r="E117" s="227" t="s">
        <v>9</v>
      </c>
      <c r="F117" s="228"/>
      <c r="G117" s="229"/>
    </row>
    <row r="118" spans="1:7" ht="15" hidden="1" customHeight="1">
      <c r="A118" s="100"/>
      <c r="B118" s="214" t="s">
        <v>5</v>
      </c>
      <c r="C118" s="216"/>
      <c r="D118" s="77"/>
      <c r="E118" s="227"/>
      <c r="F118" s="228"/>
      <c r="G118" s="229"/>
    </row>
    <row r="119" spans="1:7" ht="15" hidden="1" customHeight="1">
      <c r="A119" s="100"/>
      <c r="B119" s="214" t="s">
        <v>9</v>
      </c>
      <c r="C119" s="216"/>
      <c r="D119" s="77"/>
      <c r="E119" s="227"/>
      <c r="F119" s="228"/>
      <c r="G119" s="229"/>
    </row>
    <row r="120" spans="1:7" ht="15" hidden="1" customHeight="1">
      <c r="A120" s="100"/>
      <c r="B120" s="214" t="s">
        <v>29</v>
      </c>
      <c r="C120" s="216"/>
      <c r="D120" s="77"/>
      <c r="E120" s="227"/>
      <c r="F120" s="228"/>
      <c r="G120" s="229"/>
    </row>
    <row r="121" spans="1:7" ht="15" hidden="1" customHeight="1">
      <c r="A121" s="217" t="s">
        <v>1298</v>
      </c>
      <c r="B121" s="218"/>
      <c r="C121" s="219"/>
      <c r="D121" s="217" t="s">
        <v>1299</v>
      </c>
      <c r="E121" s="218"/>
      <c r="F121" s="218"/>
      <c r="G121" s="219"/>
    </row>
    <row r="122" spans="1:7" ht="15" hidden="1" customHeight="1">
      <c r="A122" s="100"/>
      <c r="B122" s="214" t="s">
        <v>32</v>
      </c>
      <c r="C122" s="216"/>
      <c r="D122" s="100"/>
      <c r="E122" s="227" t="s">
        <v>32</v>
      </c>
      <c r="F122" s="228"/>
      <c r="G122" s="229"/>
    </row>
    <row r="123" spans="1:7" ht="15" hidden="1" customHeight="1">
      <c r="A123" s="100"/>
      <c r="B123" s="214" t="s">
        <v>31</v>
      </c>
      <c r="C123" s="216"/>
      <c r="D123" s="100"/>
      <c r="E123" s="227" t="s">
        <v>31</v>
      </c>
      <c r="F123" s="228"/>
      <c r="G123" s="229"/>
    </row>
    <row r="124" spans="1:7" ht="15" hidden="1" customHeight="1">
      <c r="A124" s="100"/>
      <c r="B124" s="214" t="s">
        <v>1393</v>
      </c>
      <c r="C124" s="216"/>
      <c r="D124" s="100"/>
      <c r="E124" s="227" t="s">
        <v>30</v>
      </c>
      <c r="F124" s="228"/>
      <c r="G124" s="229"/>
    </row>
    <row r="125" spans="1:7" ht="15" hidden="1" customHeight="1">
      <c r="A125" s="100"/>
      <c r="B125" s="214" t="s">
        <v>10</v>
      </c>
      <c r="C125" s="216"/>
      <c r="D125" s="100"/>
      <c r="E125" s="227" t="s">
        <v>1305</v>
      </c>
      <c r="F125" s="228"/>
      <c r="G125" s="229"/>
    </row>
    <row r="126" spans="1:7" ht="15" hidden="1" customHeight="1">
      <c r="A126" s="100"/>
      <c r="B126" s="214" t="s">
        <v>8</v>
      </c>
      <c r="C126" s="216"/>
      <c r="D126" s="100"/>
      <c r="E126" s="227" t="s">
        <v>12</v>
      </c>
      <c r="F126" s="228"/>
      <c r="G126" s="229"/>
    </row>
    <row r="127" spans="1:7" ht="15" hidden="1" customHeight="1">
      <c r="A127" s="100"/>
      <c r="B127" s="214"/>
      <c r="C127" s="216"/>
      <c r="D127" s="100"/>
      <c r="E127" s="227" t="s">
        <v>11</v>
      </c>
      <c r="F127" s="228"/>
      <c r="G127" s="229"/>
    </row>
    <row r="128" spans="1:7" ht="15" hidden="1" customHeight="1">
      <c r="A128" s="230" t="s">
        <v>1302</v>
      </c>
      <c r="B128" s="231"/>
      <c r="C128" s="231"/>
      <c r="D128" s="231"/>
      <c r="E128" s="231"/>
      <c r="F128" s="231"/>
      <c r="G128" s="232"/>
    </row>
    <row r="129" spans="1:7" ht="15" hidden="1" customHeight="1">
      <c r="A129" s="100"/>
      <c r="B129" s="214" t="s">
        <v>22</v>
      </c>
      <c r="C129" s="216"/>
      <c r="D129" s="100"/>
      <c r="E129" s="227" t="s">
        <v>1300</v>
      </c>
      <c r="F129" s="228"/>
      <c r="G129" s="229"/>
    </row>
    <row r="130" spans="1:7" ht="15" hidden="1" customHeight="1">
      <c r="A130" s="100"/>
      <c r="B130" s="214" t="s">
        <v>21</v>
      </c>
      <c r="C130" s="216"/>
      <c r="D130" s="100"/>
      <c r="E130" s="227" t="s">
        <v>16</v>
      </c>
      <c r="F130" s="228"/>
      <c r="G130" s="229"/>
    </row>
    <row r="131" spans="1:7" ht="15" hidden="1" customHeight="1">
      <c r="A131" s="100"/>
      <c r="B131" s="214" t="s">
        <v>14</v>
      </c>
      <c r="C131" s="216"/>
      <c r="D131" s="100"/>
      <c r="E131" s="227" t="s">
        <v>17</v>
      </c>
      <c r="F131" s="228"/>
      <c r="G131" s="229"/>
    </row>
    <row r="132" spans="1:7" ht="15" hidden="1" customHeight="1">
      <c r="A132" s="100"/>
      <c r="B132" s="214" t="s">
        <v>15</v>
      </c>
      <c r="C132" s="216"/>
      <c r="D132" s="100"/>
      <c r="E132" s="227" t="s">
        <v>18</v>
      </c>
      <c r="F132" s="228"/>
      <c r="G132" s="229"/>
    </row>
    <row r="133" spans="1:7" ht="15" hidden="1" customHeight="1">
      <c r="A133" s="100"/>
      <c r="B133" s="214" t="s">
        <v>23</v>
      </c>
      <c r="C133" s="216"/>
      <c r="D133" s="100"/>
      <c r="E133" s="227" t="s">
        <v>41</v>
      </c>
      <c r="F133" s="228"/>
      <c r="G133" s="229"/>
    </row>
  </sheetData>
  <mergeCells count="201">
    <mergeCell ref="A47:B47"/>
    <mergeCell ref="A48:B48"/>
    <mergeCell ref="A46:B46"/>
    <mergeCell ref="G18:H18"/>
    <mergeCell ref="G19:H19"/>
    <mergeCell ref="G20:H20"/>
    <mergeCell ref="G21:H21"/>
    <mergeCell ref="G22:I22"/>
    <mergeCell ref="G23:H23"/>
    <mergeCell ref="G28:H28"/>
    <mergeCell ref="G30:H30"/>
    <mergeCell ref="G31:H31"/>
    <mergeCell ref="G27:I27"/>
    <mergeCell ref="A40:B40"/>
    <mergeCell ref="A41:B41"/>
    <mergeCell ref="A42:B42"/>
    <mergeCell ref="A32:B32"/>
    <mergeCell ref="A33:B33"/>
    <mergeCell ref="A34:B34"/>
    <mergeCell ref="A35:B35"/>
    <mergeCell ref="G47:K47"/>
    <mergeCell ref="G32:H32"/>
    <mergeCell ref="G33:H33"/>
    <mergeCell ref="G34:H34"/>
    <mergeCell ref="G12:H12"/>
    <mergeCell ref="G13:H13"/>
    <mergeCell ref="G14:H14"/>
    <mergeCell ref="G15:H15"/>
    <mergeCell ref="G16:K16"/>
    <mergeCell ref="G17:H17"/>
    <mergeCell ref="A43:B43"/>
    <mergeCell ref="A44:B44"/>
    <mergeCell ref="A45:B45"/>
    <mergeCell ref="A36:B36"/>
    <mergeCell ref="A37:B37"/>
    <mergeCell ref="A38:B38"/>
    <mergeCell ref="A39:B39"/>
    <mergeCell ref="G43:H43"/>
    <mergeCell ref="G44:H44"/>
    <mergeCell ref="G45:H45"/>
    <mergeCell ref="G26:H26"/>
    <mergeCell ref="G29:H29"/>
    <mergeCell ref="G35:I35"/>
    <mergeCell ref="A16:B16"/>
    <mergeCell ref="A17:B17"/>
    <mergeCell ref="A19:B19"/>
    <mergeCell ref="A20:B20"/>
    <mergeCell ref="A31:B31"/>
    <mergeCell ref="A9:E9"/>
    <mergeCell ref="A18:E18"/>
    <mergeCell ref="A30:E30"/>
    <mergeCell ref="A83:E83"/>
    <mergeCell ref="C84:E84"/>
    <mergeCell ref="C85:E85"/>
    <mergeCell ref="C86:E86"/>
    <mergeCell ref="A81:B82"/>
    <mergeCell ref="D79:E79"/>
    <mergeCell ref="D80:E80"/>
    <mergeCell ref="D81:E81"/>
    <mergeCell ref="D82:E82"/>
    <mergeCell ref="A74:G74"/>
    <mergeCell ref="A61:B61"/>
    <mergeCell ref="A62:B62"/>
    <mergeCell ref="A63:G63"/>
    <mergeCell ref="A11:B11"/>
    <mergeCell ref="A12:B12"/>
    <mergeCell ref="A13:B13"/>
    <mergeCell ref="A14:B14"/>
    <mergeCell ref="A15:B15"/>
    <mergeCell ref="G9:K9"/>
    <mergeCell ref="G10:K10"/>
    <mergeCell ref="G11:H11"/>
    <mergeCell ref="A69:G69"/>
    <mergeCell ref="A49:B49"/>
    <mergeCell ref="A55:B55"/>
    <mergeCell ref="A56:B56"/>
    <mergeCell ref="A57:B57"/>
    <mergeCell ref="A58:B58"/>
    <mergeCell ref="A59:B59"/>
    <mergeCell ref="A51:B51"/>
    <mergeCell ref="A52:B52"/>
    <mergeCell ref="A50:B50"/>
    <mergeCell ref="A53:B53"/>
    <mergeCell ref="A60:B60"/>
    <mergeCell ref="A66:G66"/>
    <mergeCell ref="A67:E68"/>
    <mergeCell ref="A64:E65"/>
    <mergeCell ref="A54:E54"/>
    <mergeCell ref="G49:H49"/>
    <mergeCell ref="G50:H50"/>
    <mergeCell ref="G52:H52"/>
    <mergeCell ref="G53:H53"/>
    <mergeCell ref="G54:H54"/>
    <mergeCell ref="C58:E58"/>
    <mergeCell ref="C97:E97"/>
    <mergeCell ref="A79:B80"/>
    <mergeCell ref="A70:B70"/>
    <mergeCell ref="C77:G77"/>
    <mergeCell ref="C87:E87"/>
    <mergeCell ref="C89:E89"/>
    <mergeCell ref="C70:G70"/>
    <mergeCell ref="A72:E73"/>
    <mergeCell ref="A71:G71"/>
    <mergeCell ref="A75:E76"/>
    <mergeCell ref="A77:B77"/>
    <mergeCell ref="A78:G78"/>
    <mergeCell ref="C90:E90"/>
    <mergeCell ref="C91:E91"/>
    <mergeCell ref="C92:E92"/>
    <mergeCell ref="A88:E88"/>
    <mergeCell ref="A93:E93"/>
    <mergeCell ref="A21:B21"/>
    <mergeCell ref="A22:B22"/>
    <mergeCell ref="A23:B23"/>
    <mergeCell ref="A24:B24"/>
    <mergeCell ref="A25:B25"/>
    <mergeCell ref="A26:B26"/>
    <mergeCell ref="A27:B27"/>
    <mergeCell ref="A28:B28"/>
    <mergeCell ref="A29:B29"/>
    <mergeCell ref="A10:B10"/>
    <mergeCell ref="B120:C120"/>
    <mergeCell ref="B115:C115"/>
    <mergeCell ref="B116:C116"/>
    <mergeCell ref="B117:C117"/>
    <mergeCell ref="B118:C118"/>
    <mergeCell ref="B119:C119"/>
    <mergeCell ref="A114:C114"/>
    <mergeCell ref="B109:C109"/>
    <mergeCell ref="B110:C110"/>
    <mergeCell ref="B111:C111"/>
    <mergeCell ref="B107:C107"/>
    <mergeCell ref="B108:C108"/>
    <mergeCell ref="B112:C112"/>
    <mergeCell ref="A98:G98"/>
    <mergeCell ref="A99:G99"/>
    <mergeCell ref="B105:C105"/>
    <mergeCell ref="E100:G100"/>
    <mergeCell ref="E101:G101"/>
    <mergeCell ref="E102:G102"/>
    <mergeCell ref="E103:G103"/>
    <mergeCell ref="G51:H51"/>
    <mergeCell ref="G48:H48"/>
    <mergeCell ref="E104:G104"/>
    <mergeCell ref="E133:G133"/>
    <mergeCell ref="B133:C133"/>
    <mergeCell ref="E132:G132"/>
    <mergeCell ref="B132:C132"/>
    <mergeCell ref="E131:G131"/>
    <mergeCell ref="B131:C131"/>
    <mergeCell ref="E130:G130"/>
    <mergeCell ref="B130:C130"/>
    <mergeCell ref="E129:G129"/>
    <mergeCell ref="B129:C129"/>
    <mergeCell ref="A128:G128"/>
    <mergeCell ref="E126:G126"/>
    <mergeCell ref="B126:C126"/>
    <mergeCell ref="E125:G125"/>
    <mergeCell ref="B125:C125"/>
    <mergeCell ref="E124:G124"/>
    <mergeCell ref="B124:C124"/>
    <mergeCell ref="E123:G123"/>
    <mergeCell ref="B123:C123"/>
    <mergeCell ref="B127:C127"/>
    <mergeCell ref="E127:G127"/>
    <mergeCell ref="E122:G122"/>
    <mergeCell ref="B122:C122"/>
    <mergeCell ref="D121:G121"/>
    <mergeCell ref="A121:C121"/>
    <mergeCell ref="A113:G113"/>
    <mergeCell ref="E120:G120"/>
    <mergeCell ref="E119:G119"/>
    <mergeCell ref="E118:G118"/>
    <mergeCell ref="E117:G117"/>
    <mergeCell ref="E116:G116"/>
    <mergeCell ref="E115:G115"/>
    <mergeCell ref="D114:G114"/>
    <mergeCell ref="G36:H36"/>
    <mergeCell ref="G37:H37"/>
    <mergeCell ref="G38:H38"/>
    <mergeCell ref="G39:H39"/>
    <mergeCell ref="G40:H40"/>
    <mergeCell ref="G41:H41"/>
    <mergeCell ref="G42:H42"/>
    <mergeCell ref="G46:H46"/>
    <mergeCell ref="E112:G112"/>
    <mergeCell ref="E111:G111"/>
    <mergeCell ref="E110:G110"/>
    <mergeCell ref="E109:G109"/>
    <mergeCell ref="E108:G108"/>
    <mergeCell ref="E107:G107"/>
    <mergeCell ref="A106:G106"/>
    <mergeCell ref="E105:G105"/>
    <mergeCell ref="B100:C100"/>
    <mergeCell ref="B101:C101"/>
    <mergeCell ref="B102:C102"/>
    <mergeCell ref="B103:C103"/>
    <mergeCell ref="B104:C104"/>
    <mergeCell ref="C94:E94"/>
    <mergeCell ref="C95:E95"/>
    <mergeCell ref="C96:E96"/>
  </mergeCells>
  <conditionalFormatting sqref="G64">
    <cfRule type="iconSet" priority="64">
      <iconSet iconSet="3Symbols2" showValue="0">
        <cfvo type="percent" val="0"/>
        <cfvo type="num" val="1"/>
        <cfvo type="num" val="1"/>
      </iconSet>
    </cfRule>
  </conditionalFormatting>
  <conditionalFormatting sqref="G65">
    <cfRule type="iconSet" priority="63">
      <iconSet iconSet="3Symbols2" showValue="0">
        <cfvo type="percent" val="0"/>
        <cfvo type="num" val="1"/>
        <cfvo type="num" val="1"/>
      </iconSet>
    </cfRule>
  </conditionalFormatting>
  <conditionalFormatting sqref="G67">
    <cfRule type="iconSet" priority="62">
      <iconSet iconSet="3Symbols2" showValue="0">
        <cfvo type="percent" val="0"/>
        <cfvo type="num" val="1"/>
        <cfvo type="num" val="1"/>
      </iconSet>
    </cfRule>
  </conditionalFormatting>
  <conditionalFormatting sqref="G68">
    <cfRule type="iconSet" priority="61">
      <iconSet iconSet="3Symbols2" showValue="0">
        <cfvo type="percent" val="0"/>
        <cfvo type="num" val="1"/>
        <cfvo type="num" val="1"/>
      </iconSet>
    </cfRule>
  </conditionalFormatting>
  <conditionalFormatting sqref="G72">
    <cfRule type="iconSet" priority="60">
      <iconSet iconSet="3Symbols2" showValue="0">
        <cfvo type="percent" val="0"/>
        <cfvo type="num" val="1"/>
        <cfvo type="num" val="1"/>
      </iconSet>
    </cfRule>
  </conditionalFormatting>
  <conditionalFormatting sqref="G73">
    <cfRule type="iconSet" priority="59">
      <iconSet iconSet="3Symbols2" showValue="0">
        <cfvo type="percent" val="0"/>
        <cfvo type="num" val="1"/>
        <cfvo type="num" val="1"/>
      </iconSet>
    </cfRule>
  </conditionalFormatting>
  <conditionalFormatting sqref="G75">
    <cfRule type="iconSet" priority="58">
      <iconSet iconSet="3Symbols2" showValue="0">
        <cfvo type="percent" val="0"/>
        <cfvo type="num" val="1"/>
        <cfvo type="num" val="1"/>
      </iconSet>
    </cfRule>
  </conditionalFormatting>
  <conditionalFormatting sqref="G76">
    <cfRule type="iconSet" priority="57">
      <iconSet iconSet="3Symbols2" showValue="0">
        <cfvo type="percent" val="0"/>
        <cfvo type="num" val="1"/>
        <cfvo type="num" val="1"/>
      </iconSet>
    </cfRule>
  </conditionalFormatting>
  <conditionalFormatting sqref="C80 F80:G80">
    <cfRule type="iconSet" priority="74">
      <iconSet iconSet="3Symbols2" showValue="0">
        <cfvo type="percent" val="0"/>
        <cfvo type="num" val="1"/>
        <cfvo type="num" val="1"/>
      </iconSet>
    </cfRule>
  </conditionalFormatting>
  <conditionalFormatting sqref="D80">
    <cfRule type="iconSet" priority="53">
      <iconSet iconSet="3Symbols2" showValue="0">
        <cfvo type="percent" val="0"/>
        <cfvo type="num" val="1"/>
        <cfvo type="num" val="1"/>
      </iconSet>
    </cfRule>
  </conditionalFormatting>
  <conditionalFormatting sqref="C82 F82:G82">
    <cfRule type="iconSet" priority="52">
      <iconSet iconSet="3Symbols2" showValue="0">
        <cfvo type="percent" val="0"/>
        <cfvo type="num" val="1"/>
        <cfvo type="num" val="1"/>
      </iconSet>
    </cfRule>
  </conditionalFormatting>
  <conditionalFormatting sqref="D82">
    <cfRule type="iconSet" priority="51">
      <iconSet iconSet="3Symbols2" showValue="0">
        <cfvo type="percent" val="0"/>
        <cfvo type="num" val="1"/>
        <cfvo type="num" val="1"/>
      </iconSet>
    </cfRule>
  </conditionalFormatting>
  <conditionalFormatting sqref="A100">
    <cfRule type="iconSet" priority="50">
      <iconSet iconSet="3Symbols2" showValue="0">
        <cfvo type="percent" val="0"/>
        <cfvo type="num" val="1"/>
        <cfvo type="num" val="1"/>
      </iconSet>
    </cfRule>
  </conditionalFormatting>
  <conditionalFormatting sqref="A101:A105">
    <cfRule type="iconSet" priority="46">
      <iconSet iconSet="3Symbols2" showValue="0">
        <cfvo type="percent" val="0"/>
        <cfvo type="num" val="1"/>
        <cfvo type="num" val="1"/>
      </iconSet>
    </cfRule>
  </conditionalFormatting>
  <conditionalFormatting sqref="D100">
    <cfRule type="iconSet" priority="45">
      <iconSet iconSet="3Symbols2" showValue="0">
        <cfvo type="percent" val="0"/>
        <cfvo type="num" val="1"/>
        <cfvo type="num" val="1"/>
      </iconSet>
    </cfRule>
  </conditionalFormatting>
  <conditionalFormatting sqref="D101:D105">
    <cfRule type="iconSet" priority="44">
      <iconSet iconSet="3Symbols2" showValue="0">
        <cfvo type="percent" val="0"/>
        <cfvo type="num" val="1"/>
        <cfvo type="num" val="1"/>
      </iconSet>
    </cfRule>
  </conditionalFormatting>
  <conditionalFormatting sqref="A115">
    <cfRule type="iconSet" priority="23">
      <iconSet iconSet="3Symbols2" showValue="0">
        <cfvo type="percent" val="0"/>
        <cfvo type="num" val="1"/>
        <cfvo type="num" val="1"/>
      </iconSet>
    </cfRule>
  </conditionalFormatting>
  <conditionalFormatting sqref="A116:A120">
    <cfRule type="iconSet" priority="22">
      <iconSet iconSet="3Symbols2" showValue="0">
        <cfvo type="percent" val="0"/>
        <cfvo type="num" val="1"/>
        <cfvo type="num" val="1"/>
      </iconSet>
    </cfRule>
  </conditionalFormatting>
  <conditionalFormatting sqref="D115">
    <cfRule type="iconSet" priority="21">
      <iconSet iconSet="3Symbols2" showValue="0">
        <cfvo type="percent" val="0"/>
        <cfvo type="num" val="1"/>
        <cfvo type="num" val="1"/>
      </iconSet>
    </cfRule>
  </conditionalFormatting>
  <conditionalFormatting sqref="D116:D120">
    <cfRule type="iconSet" priority="20">
      <iconSet iconSet="3Symbols2" showValue="0">
        <cfvo type="percent" val="0"/>
        <cfvo type="num" val="1"/>
        <cfvo type="num" val="1"/>
      </iconSet>
    </cfRule>
  </conditionalFormatting>
  <conditionalFormatting sqref="A107">
    <cfRule type="iconSet" priority="14">
      <iconSet iconSet="3Symbols2" showValue="0">
        <cfvo type="percent" val="0"/>
        <cfvo type="num" val="1"/>
        <cfvo type="num" val="1"/>
      </iconSet>
    </cfRule>
  </conditionalFormatting>
  <conditionalFormatting sqref="A108:A112">
    <cfRule type="iconSet" priority="13">
      <iconSet iconSet="3Symbols2" showValue="0">
        <cfvo type="percent" val="0"/>
        <cfvo type="num" val="1"/>
        <cfvo type="num" val="1"/>
      </iconSet>
    </cfRule>
  </conditionalFormatting>
  <conditionalFormatting sqref="D107">
    <cfRule type="iconSet" priority="12">
      <iconSet iconSet="3Symbols2" showValue="0">
        <cfvo type="percent" val="0"/>
        <cfvo type="num" val="1"/>
        <cfvo type="num" val="1"/>
      </iconSet>
    </cfRule>
  </conditionalFormatting>
  <conditionalFormatting sqref="D108:D112">
    <cfRule type="iconSet" priority="11">
      <iconSet iconSet="3Symbols2" showValue="0">
        <cfvo type="percent" val="0"/>
        <cfvo type="num" val="1"/>
        <cfvo type="num" val="1"/>
      </iconSet>
    </cfRule>
  </conditionalFormatting>
  <conditionalFormatting sqref="A122">
    <cfRule type="iconSet" priority="8">
      <iconSet iconSet="3Symbols2" showValue="0">
        <cfvo type="percent" val="0"/>
        <cfvo type="num" val="1"/>
        <cfvo type="num" val="1"/>
      </iconSet>
    </cfRule>
  </conditionalFormatting>
  <conditionalFormatting sqref="D122">
    <cfRule type="iconSet" priority="7">
      <iconSet iconSet="3Symbols2" showValue="0">
        <cfvo type="percent" val="0"/>
        <cfvo type="num" val="1"/>
        <cfvo type="num" val="1"/>
      </iconSet>
    </cfRule>
  </conditionalFormatting>
  <conditionalFormatting sqref="A123:A126">
    <cfRule type="iconSet" priority="9">
      <iconSet iconSet="3Symbols2" showValue="0">
        <cfvo type="percent" val="0"/>
        <cfvo type="num" val="1"/>
        <cfvo type="num" val="1"/>
      </iconSet>
    </cfRule>
  </conditionalFormatting>
  <conditionalFormatting sqref="D123:D126">
    <cfRule type="iconSet" priority="10">
      <iconSet iconSet="3Symbols2" showValue="0">
        <cfvo type="percent" val="0"/>
        <cfvo type="num" val="1"/>
        <cfvo type="num" val="1"/>
      </iconSet>
    </cfRule>
  </conditionalFormatting>
  <conditionalFormatting sqref="A127">
    <cfRule type="iconSet" priority="5">
      <iconSet iconSet="3Symbols2" showValue="0">
        <cfvo type="percent" val="0"/>
        <cfvo type="num" val="1"/>
        <cfvo type="num" val="1"/>
      </iconSet>
    </cfRule>
  </conditionalFormatting>
  <conditionalFormatting sqref="D127">
    <cfRule type="iconSet" priority="6">
      <iconSet iconSet="3Symbols2" showValue="0">
        <cfvo type="percent" val="0"/>
        <cfvo type="num" val="1"/>
        <cfvo type="num" val="1"/>
      </iconSet>
    </cfRule>
  </conditionalFormatting>
  <conditionalFormatting sqref="A129">
    <cfRule type="iconSet" priority="3">
      <iconSet iconSet="3Symbols2" showValue="0">
        <cfvo type="percent" val="0"/>
        <cfvo type="num" val="1"/>
        <cfvo type="num" val="1"/>
      </iconSet>
    </cfRule>
  </conditionalFormatting>
  <conditionalFormatting sqref="D129">
    <cfRule type="iconSet" priority="2">
      <iconSet iconSet="3Symbols2" showValue="0">
        <cfvo type="percent" val="0"/>
        <cfvo type="num" val="1"/>
        <cfvo type="num" val="1"/>
      </iconSet>
    </cfRule>
  </conditionalFormatting>
  <conditionalFormatting sqref="A130:A133">
    <cfRule type="iconSet" priority="4">
      <iconSet iconSet="3Symbols2" showValue="0">
        <cfvo type="percent" val="0"/>
        <cfvo type="num" val="1"/>
        <cfvo type="num" val="1"/>
      </iconSet>
    </cfRule>
  </conditionalFormatting>
  <conditionalFormatting sqref="D130:D133">
    <cfRule type="iconSet" priority="1">
      <iconSet iconSet="3Symbols2" showValue="0">
        <cfvo type="percent" val="0"/>
        <cfvo type="num" val="1"/>
        <cfvo type="num" val="1"/>
      </iconSet>
    </cfRule>
  </conditionalFormatting>
  <printOptions horizontalCentered="1"/>
  <pageMargins left="0.70866141732283472" right="0.70866141732283472" top="0.74803149606299213" bottom="0.74803149606299213" header="0.31496062992125984" footer="0.31496062992125984"/>
  <pageSetup scale="41" fitToHeight="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ORRAR">
                <anchor moveWithCells="1" sizeWithCells="1">
                  <from>
                    <xdr:col>0</xdr:col>
                    <xdr:colOff>0</xdr:colOff>
                    <xdr:row>3</xdr:row>
                    <xdr:rowOff>171450</xdr:rowOff>
                  </from>
                  <to>
                    <xdr:col>1</xdr:col>
                    <xdr:colOff>781050</xdr:colOff>
                    <xdr:row>5</xdr:row>
                    <xdr:rowOff>180975</xdr:rowOff>
                  </to>
                </anchor>
              </controlPr>
            </control>
          </mc:Choice>
        </mc:AlternateContent>
        <mc:AlternateContent xmlns:mc="http://schemas.openxmlformats.org/markup-compatibility/2006">
          <mc:Choice Requires="x14">
            <control shapeId="1038" r:id="rId5" name="Button 14">
              <controlPr defaultSize="0" print="0" autoFill="0" autoPict="0" macro="[0]!GUARDAR2">
                <anchor moveWithCells="1" sizeWithCells="1">
                  <from>
                    <xdr:col>4</xdr:col>
                    <xdr:colOff>0</xdr:colOff>
                    <xdr:row>4</xdr:row>
                    <xdr:rowOff>0</xdr:rowOff>
                  </from>
                  <to>
                    <xdr:col>4</xdr:col>
                    <xdr:colOff>1428750</xdr:colOff>
                    <xdr:row>6</xdr:row>
                    <xdr:rowOff>38100</xdr:rowOff>
                  </to>
                </anchor>
              </controlPr>
            </control>
          </mc:Choice>
        </mc:AlternateContent>
        <mc:AlternateContent xmlns:mc="http://schemas.openxmlformats.org/markup-compatibility/2006">
          <mc:Choice Requires="x14">
            <control shapeId="1040" r:id="rId6" name="Button 16">
              <controlPr defaultSize="0" print="0" autoFill="0" autoPict="0" macro="[0]!Module1.GUARDAR">
                <anchor moveWithCells="1" sizeWithCells="1">
                  <from>
                    <xdr:col>1</xdr:col>
                    <xdr:colOff>1847850</xdr:colOff>
                    <xdr:row>3</xdr:row>
                    <xdr:rowOff>171450</xdr:rowOff>
                  </from>
                  <to>
                    <xdr:col>2</xdr:col>
                    <xdr:colOff>1266825</xdr:colOff>
                    <xdr:row>6</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6">
        <x14:dataValidation type="list" allowBlank="1" showInputMessage="1" showErrorMessage="1" xr:uid="{00000000-0002-0000-0000-000000000000}">
          <x14:formula1>
            <xm:f>DATOS!$A$2:$A$5</xm:f>
          </x14:formula1>
          <xm:sqref>C11</xm:sqref>
        </x14:dataValidation>
        <x14:dataValidation type="list" allowBlank="1" showInputMessage="1" showErrorMessage="1" xr:uid="{00000000-0002-0000-0000-000001000000}">
          <x14:formula1>
            <xm:f>DATOS!$C$2:$C$3</xm:f>
          </x14:formula1>
          <xm:sqref>C14</xm:sqref>
        </x14:dataValidation>
        <x14:dataValidation type="list" allowBlank="1" showInputMessage="1" showErrorMessage="1" xr:uid="{00000000-0002-0000-0000-000002000000}">
          <x14:formula1>
            <xm:f>DATOS!$F$2:$F$81</xm:f>
          </x14:formula1>
          <xm:sqref>C19</xm:sqref>
        </x14:dataValidation>
        <x14:dataValidation type="list" allowBlank="1" showInputMessage="1" showErrorMessage="1" xr:uid="{00000000-0002-0000-0000-000003000000}">
          <x14:formula1>
            <xm:f>DATOS!$G$2:$G$983</xm:f>
          </x14:formula1>
          <xm:sqref>C20</xm:sqref>
        </x14:dataValidation>
        <x14:dataValidation type="list" allowBlank="1" showInputMessage="1" showErrorMessage="1" xr:uid="{00000000-0002-0000-0000-000004000000}">
          <x14:formula1>
            <xm:f>DATOS!$H$2:$H$52</xm:f>
          </x14:formula1>
          <xm:sqref>C21</xm:sqref>
        </x14:dataValidation>
        <x14:dataValidation type="list" allowBlank="1" showInputMessage="1" showErrorMessage="1" xr:uid="{00000000-0002-0000-0000-000005000000}">
          <x14:formula1>
            <xm:f>DATOS!$I$2:$I$5</xm:f>
          </x14:formula1>
          <xm:sqref>C23</xm:sqref>
        </x14:dataValidation>
        <x14:dataValidation type="list" allowBlank="1" showInputMessage="1" showErrorMessage="1" xr:uid="{00000000-0002-0000-0000-000006000000}">
          <x14:formula1>
            <xm:f>DATOS!$J$2:$J$195</xm:f>
          </x14:formula1>
          <xm:sqref>C36 D42:E48 C42:C44</xm:sqref>
        </x14:dataValidation>
        <x14:dataValidation type="list" allowBlank="1" showInputMessage="1" showErrorMessage="1" xr:uid="{00000000-0002-0000-0000-000007000000}">
          <x14:formula1>
            <xm:f>DATOS!$K$2:$K$3</xm:f>
          </x14:formula1>
          <xm:sqref>C39</xm:sqref>
        </x14:dataValidation>
        <x14:dataValidation type="list" allowBlank="1" showInputMessage="1" showErrorMessage="1" xr:uid="{00000000-0002-0000-0000-000008000000}">
          <x14:formula1>
            <xm:f>DATOS!$L$2:$L$5</xm:f>
          </x14:formula1>
          <xm:sqref>C41</xm:sqref>
        </x14:dataValidation>
        <x14:dataValidation type="list" allowBlank="1" showInputMessage="1" showErrorMessage="1" xr:uid="{00000000-0002-0000-0000-000009000000}">
          <x14:formula1>
            <xm:f>DATOS!$A$13</xm:f>
          </x14:formula1>
          <xm:sqref>I12:K12</xm:sqref>
        </x14:dataValidation>
        <x14:dataValidation type="list" allowBlank="1" showInputMessage="1" showErrorMessage="1" xr:uid="{00000000-0002-0000-0000-00000A000000}">
          <x14:formula1>
            <xm:f>DATOS!$A$25</xm:f>
          </x14:formula1>
          <xm:sqref>J13:K13</xm:sqref>
        </x14:dataValidation>
        <x14:dataValidation type="list" allowBlank="1" showInputMessage="1" showErrorMessage="1" xr:uid="{00000000-0002-0000-0000-00000B000000}">
          <x14:formula1>
            <xm:f>DATOS!$A$28</xm:f>
          </x14:formula1>
          <xm:sqref>J14:K14</xm:sqref>
        </x14:dataValidation>
        <x14:dataValidation type="list" allowBlank="1" showInputMessage="1" showErrorMessage="1" xr:uid="{00000000-0002-0000-0000-00000C000000}">
          <x14:formula1>
            <xm:f>DATOS!$A$35:$A$36</xm:f>
          </x14:formula1>
          <xm:sqref>I24 I39</xm:sqref>
        </x14:dataValidation>
        <x14:dataValidation type="list" allowBlank="1" showInputMessage="1" showErrorMessage="1" xr:uid="{00000000-0002-0000-0000-00000D000000}">
          <x14:formula1>
            <xm:f>DATOS!$A$14:$A$19</xm:f>
          </x14:formula1>
          <xm:sqref>I18</xm:sqref>
        </x14:dataValidation>
        <x14:dataValidation type="list" allowBlank="1" showInputMessage="1" showErrorMessage="1" xr:uid="{00000000-0002-0000-0000-00000E000000}">
          <x14:formula1>
            <xm:f>Nacionalidad!$A$2:$A$193</xm:f>
          </x14:formula1>
          <xm:sqref>C38</xm:sqref>
        </x14:dataValidation>
        <x14:dataValidation type="list" allowBlank="1" showInputMessage="1" showErrorMessage="1" xr:uid="{00000000-0002-0000-0000-00000F000000}">
          <x14:formula1>
            <xm:f>DATOS!$D$2:$D$16</xm:f>
          </x14:formula1>
          <xm:sqref>C15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O1011"/>
  <sheetViews>
    <sheetView workbookViewId="0">
      <selection sqref="A1:XFD1048576"/>
    </sheetView>
  </sheetViews>
  <sheetFormatPr defaultColWidth="11.42578125" defaultRowHeight="15"/>
  <cols>
    <col min="1" max="1" width="33.5703125" bestFit="1" customWidth="1" collapsed="1"/>
    <col min="2" max="2" width="9.140625" bestFit="1" customWidth="1" collapsed="1"/>
    <col min="3" max="3" width="13.5703125" bestFit="1" customWidth="1" collapsed="1"/>
    <col min="4" max="4" width="22.42578125" customWidth="1" collapsed="1"/>
    <col min="5" max="5" width="19.28515625" bestFit="1" customWidth="1" collapsed="1"/>
    <col min="6" max="6" width="14.7109375" bestFit="1" customWidth="1" collapsed="1"/>
    <col min="7" max="7" width="26.7109375" bestFit="1" customWidth="1" collapsed="1"/>
    <col min="8" max="8" width="11.42578125" style="7" collapsed="1"/>
    <col min="10" max="10" width="35.28515625" bestFit="1" customWidth="1" collapsed="1"/>
    <col min="12" max="12" width="15.5703125" bestFit="1" customWidth="1" collapsed="1"/>
    <col min="14" max="14" width="11.85546875" bestFit="1" customWidth="1" collapsed="1"/>
    <col min="15" max="15" width="102.85546875" bestFit="1" customWidth="1" collapsed="1"/>
  </cols>
  <sheetData>
    <row r="1" spans="1:15">
      <c r="A1" s="43" t="s">
        <v>137</v>
      </c>
      <c r="B1" s="43" t="s">
        <v>143</v>
      </c>
      <c r="C1" s="6" t="s">
        <v>144</v>
      </c>
      <c r="D1" s="6" t="s">
        <v>145</v>
      </c>
      <c r="E1" s="6" t="s">
        <v>149</v>
      </c>
      <c r="F1" s="6" t="s">
        <v>151</v>
      </c>
      <c r="G1" s="6" t="s">
        <v>152</v>
      </c>
      <c r="H1" s="47" t="s">
        <v>153</v>
      </c>
      <c r="I1" s="6" t="s">
        <v>471</v>
      </c>
      <c r="J1" s="6" t="s">
        <v>476</v>
      </c>
      <c r="K1" s="6" t="s">
        <v>670</v>
      </c>
      <c r="L1" s="6" t="s">
        <v>673</v>
      </c>
      <c r="N1" t="s">
        <v>48</v>
      </c>
      <c r="O1" t="str">
        <f>+CONCATENATE(N1,"_",N2,"_",N4)</f>
        <v>PCR_VIS_0</v>
      </c>
    </row>
    <row r="2" spans="1:15">
      <c r="A2" s="7" t="s">
        <v>1654</v>
      </c>
      <c r="B2" s="7" t="s">
        <v>142</v>
      </c>
      <c r="C2" s="7" t="s">
        <v>49</v>
      </c>
      <c r="D2" t="s">
        <v>1641</v>
      </c>
      <c r="E2" s="7" t="s">
        <v>1640</v>
      </c>
      <c r="F2" t="s">
        <v>157</v>
      </c>
      <c r="G2" s="7" t="s">
        <v>203</v>
      </c>
      <c r="H2" s="7">
        <v>2000</v>
      </c>
      <c r="I2" s="7" t="s">
        <v>472</v>
      </c>
      <c r="J2" t="s">
        <v>477</v>
      </c>
      <c r="K2" t="s">
        <v>671</v>
      </c>
      <c r="L2" t="s">
        <v>676</v>
      </c>
      <c r="N2" t="str">
        <f>+IF(FORMULARIO!C11="TUMBA MUERTO","TBM","VIS")</f>
        <v>VIS</v>
      </c>
      <c r="O2" t="s">
        <v>1294</v>
      </c>
    </row>
    <row r="3" spans="1:15">
      <c r="A3" s="7" t="s">
        <v>1655</v>
      </c>
      <c r="B3" s="7"/>
      <c r="C3" s="7" t="s">
        <v>1632</v>
      </c>
      <c r="D3" t="s">
        <v>1648</v>
      </c>
      <c r="E3" s="7" t="s">
        <v>1639</v>
      </c>
      <c r="F3" t="s">
        <v>1656</v>
      </c>
      <c r="G3" s="7" t="s">
        <v>206</v>
      </c>
      <c r="H3" s="7">
        <v>2001</v>
      </c>
      <c r="I3" s="7" t="s">
        <v>473</v>
      </c>
      <c r="J3" t="s">
        <v>478</v>
      </c>
      <c r="K3" t="s">
        <v>672</v>
      </c>
      <c r="L3" t="s">
        <v>677</v>
      </c>
      <c r="N3" s="105">
        <f>+FORMULARIO!C13</f>
        <v>0</v>
      </c>
    </row>
    <row r="4" spans="1:15">
      <c r="A4" s="7" t="s">
        <v>140</v>
      </c>
      <c r="D4" t="s">
        <v>1649</v>
      </c>
      <c r="E4" s="7" t="s">
        <v>1647</v>
      </c>
      <c r="F4" t="s">
        <v>166</v>
      </c>
      <c r="G4" s="7" t="s">
        <v>51</v>
      </c>
      <c r="H4" s="7">
        <v>2002</v>
      </c>
      <c r="I4" s="7" t="s">
        <v>474</v>
      </c>
      <c r="J4" t="s">
        <v>479</v>
      </c>
      <c r="L4" t="s">
        <v>675</v>
      </c>
      <c r="N4">
        <f>+FORMULARIO!C22</f>
        <v>0</v>
      </c>
    </row>
    <row r="5" spans="1:15">
      <c r="A5" s="7" t="s">
        <v>141</v>
      </c>
      <c r="D5" t="s">
        <v>1642</v>
      </c>
      <c r="E5" s="7" t="s">
        <v>1653</v>
      </c>
      <c r="F5" t="s">
        <v>50</v>
      </c>
      <c r="G5" s="7" t="s">
        <v>1657</v>
      </c>
      <c r="H5" s="7">
        <v>2003</v>
      </c>
      <c r="I5" s="7" t="s">
        <v>475</v>
      </c>
      <c r="J5" t="s">
        <v>480</v>
      </c>
      <c r="K5" s="81">
        <v>1</v>
      </c>
      <c r="L5" t="s">
        <v>674</v>
      </c>
    </row>
    <row r="6" spans="1:15">
      <c r="D6" t="s">
        <v>147</v>
      </c>
      <c r="E6" s="7"/>
      <c r="F6" t="s">
        <v>171</v>
      </c>
      <c r="G6" s="7" t="s">
        <v>748</v>
      </c>
      <c r="H6" s="7">
        <v>2004</v>
      </c>
      <c r="I6" s="7"/>
      <c r="J6" t="s">
        <v>481</v>
      </c>
    </row>
    <row r="7" spans="1:15">
      <c r="A7" s="6" t="s">
        <v>1304</v>
      </c>
      <c r="D7" t="s">
        <v>1645</v>
      </c>
      <c r="E7" s="6" t="s">
        <v>47</v>
      </c>
      <c r="F7" t="s">
        <v>180</v>
      </c>
      <c r="G7" s="7" t="s">
        <v>1658</v>
      </c>
      <c r="H7" s="7">
        <v>2005</v>
      </c>
      <c r="I7" s="7"/>
      <c r="J7" t="s">
        <v>482</v>
      </c>
    </row>
    <row r="8" spans="1:15">
      <c r="A8" t="s">
        <v>0</v>
      </c>
      <c r="D8" t="s">
        <v>146</v>
      </c>
      <c r="E8" t="s">
        <v>150</v>
      </c>
      <c r="F8" t="s">
        <v>182</v>
      </c>
      <c r="G8" s="7" t="s">
        <v>1659</v>
      </c>
      <c r="H8" s="7">
        <v>2006</v>
      </c>
      <c r="I8" s="7"/>
      <c r="J8" t="s">
        <v>483</v>
      </c>
    </row>
    <row r="9" spans="1:15">
      <c r="D9" t="s">
        <v>148</v>
      </c>
      <c r="F9" t="s">
        <v>193</v>
      </c>
      <c r="G9" s="7" t="s">
        <v>836</v>
      </c>
      <c r="H9" s="7">
        <v>2007</v>
      </c>
      <c r="I9" s="7"/>
      <c r="J9" t="s">
        <v>484</v>
      </c>
    </row>
    <row r="10" spans="1:15">
      <c r="D10" t="s">
        <v>1650</v>
      </c>
      <c r="F10" t="s">
        <v>195</v>
      </c>
      <c r="G10" s="7" t="s">
        <v>1660</v>
      </c>
      <c r="H10" s="7">
        <v>2008</v>
      </c>
      <c r="I10" s="7"/>
      <c r="J10" t="s">
        <v>485</v>
      </c>
    </row>
    <row r="11" spans="1:15">
      <c r="D11" t="s">
        <v>1651</v>
      </c>
      <c r="F11" t="s">
        <v>154</v>
      </c>
      <c r="G11" s="7" t="s">
        <v>848</v>
      </c>
      <c r="H11" s="7">
        <v>2009</v>
      </c>
      <c r="I11" s="7"/>
      <c r="J11" t="s">
        <v>486</v>
      </c>
    </row>
    <row r="12" spans="1:15">
      <c r="A12" s="43" t="s">
        <v>1315</v>
      </c>
      <c r="D12" t="s">
        <v>1644</v>
      </c>
      <c r="F12" t="s">
        <v>155</v>
      </c>
      <c r="G12" s="7" t="s">
        <v>1661</v>
      </c>
      <c r="H12" s="7">
        <v>2010</v>
      </c>
      <c r="I12" s="7"/>
      <c r="J12" t="s">
        <v>487</v>
      </c>
    </row>
    <row r="13" spans="1:15">
      <c r="A13" t="s">
        <v>1361</v>
      </c>
      <c r="D13" t="s">
        <v>1638</v>
      </c>
      <c r="F13" t="s">
        <v>678</v>
      </c>
      <c r="G13" s="7" t="s">
        <v>279</v>
      </c>
      <c r="H13" s="7">
        <v>2011</v>
      </c>
      <c r="I13" s="7"/>
      <c r="J13" t="s">
        <v>488</v>
      </c>
    </row>
    <row r="14" spans="1:15">
      <c r="A14" t="s">
        <v>1396</v>
      </c>
      <c r="D14" t="s">
        <v>1646</v>
      </c>
      <c r="F14" t="s">
        <v>679</v>
      </c>
      <c r="G14" s="7" t="s">
        <v>1634</v>
      </c>
      <c r="H14" s="7">
        <v>2012</v>
      </c>
      <c r="I14" s="7"/>
      <c r="J14" t="s">
        <v>489</v>
      </c>
    </row>
    <row r="15" spans="1:15">
      <c r="A15" t="s">
        <v>1394</v>
      </c>
      <c r="D15" t="s">
        <v>1643</v>
      </c>
      <c r="F15" t="s">
        <v>680</v>
      </c>
      <c r="G15" s="7" t="s">
        <v>1662</v>
      </c>
      <c r="H15" s="7">
        <v>2013</v>
      </c>
      <c r="I15" s="7"/>
      <c r="J15" t="s">
        <v>490</v>
      </c>
    </row>
    <row r="16" spans="1:15">
      <c r="A16" t="s">
        <v>1362</v>
      </c>
      <c r="D16" t="s">
        <v>1652</v>
      </c>
      <c r="F16" t="s">
        <v>156</v>
      </c>
      <c r="G16" s="7" t="s">
        <v>1663</v>
      </c>
      <c r="H16" s="7">
        <v>2014</v>
      </c>
      <c r="I16" s="7"/>
      <c r="J16" t="s">
        <v>491</v>
      </c>
    </row>
    <row r="17" spans="1:10">
      <c r="A17" t="s">
        <v>1364</v>
      </c>
      <c r="F17" t="s">
        <v>681</v>
      </c>
      <c r="G17" s="7" t="s">
        <v>1664</v>
      </c>
      <c r="H17" s="7">
        <v>2015</v>
      </c>
      <c r="I17" s="7"/>
      <c r="J17" t="s">
        <v>492</v>
      </c>
    </row>
    <row r="18" spans="1:10">
      <c r="A18" t="s">
        <v>1395</v>
      </c>
      <c r="F18" t="s">
        <v>682</v>
      </c>
      <c r="G18" s="7" t="s">
        <v>1665</v>
      </c>
      <c r="H18" s="7">
        <v>2016</v>
      </c>
      <c r="I18" s="7"/>
      <c r="J18" t="s">
        <v>493</v>
      </c>
    </row>
    <row r="19" spans="1:10">
      <c r="A19" t="s">
        <v>1363</v>
      </c>
      <c r="F19" t="s">
        <v>158</v>
      </c>
      <c r="G19" s="7" t="s">
        <v>1666</v>
      </c>
      <c r="H19" s="7">
        <v>2017</v>
      </c>
      <c r="I19" s="7"/>
      <c r="J19" t="s">
        <v>494</v>
      </c>
    </row>
    <row r="20" spans="1:10">
      <c r="F20" t="s">
        <v>683</v>
      </c>
      <c r="G20" s="7" t="s">
        <v>1667</v>
      </c>
      <c r="H20" s="7">
        <v>2018</v>
      </c>
      <c r="I20" s="7"/>
      <c r="J20" t="s">
        <v>495</v>
      </c>
    </row>
    <row r="21" spans="1:10">
      <c r="F21" t="s">
        <v>159</v>
      </c>
      <c r="G21" s="7" t="s">
        <v>1668</v>
      </c>
      <c r="H21" s="7">
        <v>2019</v>
      </c>
      <c r="I21" s="7"/>
      <c r="J21" t="s">
        <v>496</v>
      </c>
    </row>
    <row r="22" spans="1:10">
      <c r="F22" t="s">
        <v>684</v>
      </c>
      <c r="G22" s="7" t="s">
        <v>1669</v>
      </c>
      <c r="H22" s="7">
        <v>2020</v>
      </c>
      <c r="I22" s="7"/>
      <c r="J22" t="s">
        <v>497</v>
      </c>
    </row>
    <row r="23" spans="1:10">
      <c r="F23" t="s">
        <v>160</v>
      </c>
      <c r="G23" s="7" t="s">
        <v>1670</v>
      </c>
      <c r="H23" s="7">
        <v>2021</v>
      </c>
      <c r="I23" s="7"/>
      <c r="J23" t="s">
        <v>498</v>
      </c>
    </row>
    <row r="24" spans="1:10">
      <c r="A24" s="43" t="s">
        <v>1365</v>
      </c>
      <c r="F24" t="s">
        <v>685</v>
      </c>
      <c r="G24" s="7" t="s">
        <v>320</v>
      </c>
      <c r="H24" s="7">
        <v>2022</v>
      </c>
      <c r="I24" s="7"/>
      <c r="J24" t="s">
        <v>499</v>
      </c>
    </row>
    <row r="25" spans="1:10">
      <c r="A25" t="s">
        <v>1366</v>
      </c>
      <c r="F25" t="s">
        <v>161</v>
      </c>
      <c r="G25" s="7" t="s">
        <v>1671</v>
      </c>
      <c r="H25" s="7">
        <v>2023</v>
      </c>
      <c r="I25" s="7"/>
      <c r="J25" t="s">
        <v>500</v>
      </c>
    </row>
    <row r="26" spans="1:10">
      <c r="F26" t="s">
        <v>686</v>
      </c>
      <c r="G26" s="7" t="s">
        <v>1672</v>
      </c>
      <c r="H26" s="7">
        <v>2024</v>
      </c>
      <c r="I26" s="7"/>
      <c r="J26" t="s">
        <v>501</v>
      </c>
    </row>
    <row r="27" spans="1:10">
      <c r="A27" s="43" t="s">
        <v>1367</v>
      </c>
      <c r="F27" t="s">
        <v>162</v>
      </c>
      <c r="G27" s="7" t="s">
        <v>1673</v>
      </c>
      <c r="H27" s="7">
        <v>2025</v>
      </c>
      <c r="I27" s="7"/>
      <c r="J27" t="s">
        <v>502</v>
      </c>
    </row>
    <row r="28" spans="1:10">
      <c r="A28" t="s">
        <v>1368</v>
      </c>
      <c r="F28" t="s">
        <v>687</v>
      </c>
      <c r="G28" s="7" t="s">
        <v>1674</v>
      </c>
      <c r="H28" s="7">
        <v>2026</v>
      </c>
      <c r="I28" s="7"/>
      <c r="J28" t="s">
        <v>503</v>
      </c>
    </row>
    <row r="29" spans="1:10">
      <c r="F29" t="s">
        <v>688</v>
      </c>
      <c r="G29" s="7" t="s">
        <v>330</v>
      </c>
      <c r="H29" s="7">
        <v>2027</v>
      </c>
      <c r="I29" s="7"/>
      <c r="J29" t="s">
        <v>504</v>
      </c>
    </row>
    <row r="30" spans="1:10">
      <c r="A30" s="43" t="s">
        <v>1378</v>
      </c>
      <c r="F30" t="s">
        <v>689</v>
      </c>
      <c r="G30" s="7" t="s">
        <v>347</v>
      </c>
      <c r="H30" s="7">
        <v>2028</v>
      </c>
      <c r="I30" s="7"/>
      <c r="J30" t="s">
        <v>505</v>
      </c>
    </row>
    <row r="31" spans="1:10">
      <c r="A31" s="81" t="s">
        <v>1379</v>
      </c>
      <c r="F31" t="s">
        <v>690</v>
      </c>
      <c r="G31" s="7" t="s">
        <v>1675</v>
      </c>
      <c r="H31" s="7">
        <v>2029</v>
      </c>
      <c r="I31" s="7"/>
      <c r="J31" t="s">
        <v>506</v>
      </c>
    </row>
    <row r="32" spans="1:10">
      <c r="A32" s="81" t="s">
        <v>1380</v>
      </c>
      <c r="F32" t="s">
        <v>691</v>
      </c>
      <c r="G32" s="7" t="s">
        <v>1676</v>
      </c>
      <c r="H32" s="7">
        <v>2030</v>
      </c>
      <c r="I32" s="7"/>
      <c r="J32" t="s">
        <v>507</v>
      </c>
    </row>
    <row r="33" spans="1:10">
      <c r="F33" t="s">
        <v>163</v>
      </c>
      <c r="G33" s="7" t="s">
        <v>364</v>
      </c>
      <c r="H33" s="7">
        <v>2031</v>
      </c>
      <c r="I33" s="7"/>
      <c r="J33" t="s">
        <v>508</v>
      </c>
    </row>
    <row r="34" spans="1:10">
      <c r="A34" s="43" t="s">
        <v>1321</v>
      </c>
      <c r="F34" t="s">
        <v>164</v>
      </c>
      <c r="G34" s="7" t="s">
        <v>367</v>
      </c>
      <c r="H34" s="7">
        <v>2032</v>
      </c>
      <c r="I34" s="7"/>
      <c r="J34" t="s">
        <v>509</v>
      </c>
    </row>
    <row r="35" spans="1:10">
      <c r="A35" t="s">
        <v>1381</v>
      </c>
      <c r="F35" t="s">
        <v>165</v>
      </c>
      <c r="G35" s="7" t="s">
        <v>1677</v>
      </c>
      <c r="H35" s="7">
        <v>2033</v>
      </c>
      <c r="I35" s="7"/>
      <c r="J35" t="s">
        <v>510</v>
      </c>
    </row>
    <row r="36" spans="1:10">
      <c r="A36" t="s">
        <v>1382</v>
      </c>
      <c r="F36" t="s">
        <v>692</v>
      </c>
      <c r="G36" s="7" t="s">
        <v>1635</v>
      </c>
      <c r="H36" s="7">
        <v>2034</v>
      </c>
      <c r="I36" s="7"/>
      <c r="J36" t="s">
        <v>511</v>
      </c>
    </row>
    <row r="37" spans="1:10">
      <c r="F37" t="s">
        <v>693</v>
      </c>
      <c r="G37" s="7" t="s">
        <v>1678</v>
      </c>
      <c r="H37" s="7">
        <v>2035</v>
      </c>
      <c r="I37" s="7"/>
      <c r="J37" t="s">
        <v>512</v>
      </c>
    </row>
    <row r="38" spans="1:10">
      <c r="A38" s="43" t="s">
        <v>1383</v>
      </c>
      <c r="F38" t="s">
        <v>694</v>
      </c>
      <c r="G38" s="7" t="s">
        <v>1679</v>
      </c>
      <c r="H38" s="7">
        <v>2036</v>
      </c>
      <c r="I38" s="7"/>
      <c r="J38" t="s">
        <v>513</v>
      </c>
    </row>
    <row r="39" spans="1:10">
      <c r="A39" t="s">
        <v>1384</v>
      </c>
      <c r="F39" t="s">
        <v>167</v>
      </c>
      <c r="G39" s="7" t="s">
        <v>407</v>
      </c>
      <c r="H39" s="7">
        <v>2037</v>
      </c>
      <c r="I39" s="7"/>
      <c r="J39" t="s">
        <v>514</v>
      </c>
    </row>
    <row r="40" spans="1:10">
      <c r="A40" t="s">
        <v>1385</v>
      </c>
      <c r="F40" t="s">
        <v>695</v>
      </c>
      <c r="G40" s="7" t="s">
        <v>419</v>
      </c>
      <c r="H40" s="7">
        <v>2038</v>
      </c>
      <c r="I40" s="7"/>
      <c r="J40" t="s">
        <v>515</v>
      </c>
    </row>
    <row r="41" spans="1:10">
      <c r="F41" t="s">
        <v>168</v>
      </c>
      <c r="G41" s="7" t="s">
        <v>422</v>
      </c>
      <c r="H41" s="7">
        <v>2039</v>
      </c>
      <c r="I41" s="7"/>
      <c r="J41" t="s">
        <v>516</v>
      </c>
    </row>
    <row r="42" spans="1:10">
      <c r="A42" s="43" t="s">
        <v>1386</v>
      </c>
      <c r="F42" t="s">
        <v>696</v>
      </c>
      <c r="G42" s="7" t="s">
        <v>1227</v>
      </c>
      <c r="H42" s="7">
        <v>2040</v>
      </c>
      <c r="I42" s="7"/>
      <c r="J42" t="s">
        <v>517</v>
      </c>
    </row>
    <row r="43" spans="1:10">
      <c r="A43" t="s">
        <v>142</v>
      </c>
      <c r="F43" t="s">
        <v>697</v>
      </c>
      <c r="G43" s="7" t="s">
        <v>1680</v>
      </c>
      <c r="H43" s="7">
        <v>2041</v>
      </c>
      <c r="I43" s="7"/>
      <c r="J43" t="s">
        <v>518</v>
      </c>
    </row>
    <row r="44" spans="1:10">
      <c r="F44" t="s">
        <v>169</v>
      </c>
      <c r="G44" s="7" t="s">
        <v>1681</v>
      </c>
      <c r="H44" s="7">
        <v>2042</v>
      </c>
      <c r="I44" s="7"/>
      <c r="J44" t="s">
        <v>519</v>
      </c>
    </row>
    <row r="45" spans="1:10">
      <c r="A45" s="43" t="s">
        <v>1387</v>
      </c>
      <c r="F45" t="s">
        <v>170</v>
      </c>
      <c r="G45" s="7" t="s">
        <v>465</v>
      </c>
      <c r="H45" s="7">
        <v>2043</v>
      </c>
      <c r="I45" s="7"/>
      <c r="J45" t="s">
        <v>520</v>
      </c>
    </row>
    <row r="46" spans="1:10">
      <c r="A46" t="s">
        <v>1389</v>
      </c>
      <c r="F46" t="s">
        <v>172</v>
      </c>
      <c r="G46" s="7">
        <v>500</v>
      </c>
      <c r="H46" s="7">
        <v>2044</v>
      </c>
      <c r="I46" s="7"/>
      <c r="J46" t="s">
        <v>521</v>
      </c>
    </row>
    <row r="47" spans="1:10">
      <c r="A47" t="s">
        <v>1388</v>
      </c>
      <c r="F47" t="s">
        <v>173</v>
      </c>
      <c r="G47" s="7">
        <v>4</v>
      </c>
      <c r="H47" s="7">
        <v>2045</v>
      </c>
      <c r="I47" s="7"/>
      <c r="J47" t="s">
        <v>522</v>
      </c>
    </row>
    <row r="48" spans="1:10">
      <c r="F48" t="s">
        <v>174</v>
      </c>
      <c r="G48" s="7">
        <v>10</v>
      </c>
      <c r="H48" s="7">
        <v>2046</v>
      </c>
      <c r="I48" s="7"/>
      <c r="J48" t="s">
        <v>523</v>
      </c>
    </row>
    <row r="49" spans="6:10">
      <c r="F49" t="s">
        <v>698</v>
      </c>
      <c r="G49" s="7">
        <v>24</v>
      </c>
      <c r="H49" s="7">
        <v>2047</v>
      </c>
      <c r="I49" s="7"/>
      <c r="J49" t="s">
        <v>524</v>
      </c>
    </row>
    <row r="50" spans="6:10">
      <c r="F50" t="s">
        <v>699</v>
      </c>
      <c r="G50" s="7">
        <v>25</v>
      </c>
      <c r="H50" s="7">
        <v>2048</v>
      </c>
      <c r="I50" s="7"/>
      <c r="J50" t="s">
        <v>525</v>
      </c>
    </row>
    <row r="51" spans="6:10">
      <c r="F51" t="s">
        <v>175</v>
      </c>
      <c r="G51" s="7">
        <v>33</v>
      </c>
      <c r="H51" s="7">
        <v>2049</v>
      </c>
      <c r="I51" s="7"/>
      <c r="J51" t="s">
        <v>526</v>
      </c>
    </row>
    <row r="52" spans="6:10">
      <c r="F52" t="s">
        <v>700</v>
      </c>
      <c r="G52" s="7">
        <v>44</v>
      </c>
      <c r="H52" s="7">
        <v>2050</v>
      </c>
      <c r="I52" s="7"/>
      <c r="J52" t="s">
        <v>527</v>
      </c>
    </row>
    <row r="53" spans="6:10">
      <c r="F53" t="s">
        <v>176</v>
      </c>
      <c r="G53" s="7">
        <v>45</v>
      </c>
      <c r="I53" s="7"/>
      <c r="J53" t="s">
        <v>528</v>
      </c>
    </row>
    <row r="54" spans="6:10">
      <c r="F54" t="s">
        <v>177</v>
      </c>
      <c r="G54" s="7">
        <v>75</v>
      </c>
      <c r="I54" s="7"/>
      <c r="J54" t="s">
        <v>529</v>
      </c>
    </row>
    <row r="55" spans="6:10">
      <c r="F55" t="s">
        <v>701</v>
      </c>
      <c r="G55" s="7">
        <v>80</v>
      </c>
      <c r="I55" s="7"/>
      <c r="J55" t="s">
        <v>530</v>
      </c>
    </row>
    <row r="56" spans="6:10">
      <c r="F56" t="s">
        <v>178</v>
      </c>
      <c r="G56" s="7">
        <v>90</v>
      </c>
      <c r="I56" s="7"/>
      <c r="J56" t="s">
        <v>531</v>
      </c>
    </row>
    <row r="57" spans="6:10">
      <c r="F57" t="s">
        <v>702</v>
      </c>
      <c r="G57" s="7">
        <v>93</v>
      </c>
      <c r="I57" s="7"/>
      <c r="J57" t="s">
        <v>532</v>
      </c>
    </row>
    <row r="58" spans="6:10">
      <c r="F58" t="s">
        <v>703</v>
      </c>
      <c r="G58" s="7">
        <v>95</v>
      </c>
      <c r="I58" s="7"/>
      <c r="J58" t="s">
        <v>533</v>
      </c>
    </row>
    <row r="59" spans="6:10">
      <c r="F59" t="s">
        <v>179</v>
      </c>
      <c r="G59" s="7">
        <v>100</v>
      </c>
      <c r="I59" s="7"/>
      <c r="J59" t="s">
        <v>534</v>
      </c>
    </row>
    <row r="60" spans="6:10">
      <c r="F60" t="s">
        <v>181</v>
      </c>
      <c r="G60" s="7">
        <v>106</v>
      </c>
      <c r="I60" s="7"/>
      <c r="J60" t="s">
        <v>535</v>
      </c>
    </row>
    <row r="61" spans="6:10">
      <c r="F61" t="s">
        <v>183</v>
      </c>
      <c r="G61" s="7">
        <v>107</v>
      </c>
      <c r="I61" s="7"/>
      <c r="J61" t="s">
        <v>536</v>
      </c>
    </row>
    <row r="62" spans="6:10">
      <c r="F62" t="s">
        <v>184</v>
      </c>
      <c r="G62" s="7">
        <v>121</v>
      </c>
      <c r="I62" s="7"/>
      <c r="J62" t="s">
        <v>537</v>
      </c>
    </row>
    <row r="63" spans="6:10">
      <c r="F63" t="s">
        <v>704</v>
      </c>
      <c r="G63" s="7">
        <v>130</v>
      </c>
      <c r="I63" s="7"/>
      <c r="J63" t="s">
        <v>538</v>
      </c>
    </row>
    <row r="64" spans="6:10">
      <c r="F64" t="s">
        <v>185</v>
      </c>
      <c r="G64" s="7">
        <v>145</v>
      </c>
      <c r="I64" s="7"/>
      <c r="J64" t="s">
        <v>539</v>
      </c>
    </row>
    <row r="65" spans="6:10">
      <c r="F65" t="s">
        <v>186</v>
      </c>
      <c r="G65" s="7">
        <v>146</v>
      </c>
      <c r="I65" s="7"/>
      <c r="J65" t="s">
        <v>540</v>
      </c>
    </row>
    <row r="66" spans="6:10">
      <c r="F66" t="s">
        <v>187</v>
      </c>
      <c r="G66" s="7">
        <v>147</v>
      </c>
      <c r="I66" s="7"/>
      <c r="J66" t="s">
        <v>541</v>
      </c>
    </row>
    <row r="67" spans="6:10">
      <c r="F67" t="s">
        <v>705</v>
      </c>
      <c r="G67" s="7">
        <v>155</v>
      </c>
      <c r="I67" s="7"/>
      <c r="J67" t="s">
        <v>542</v>
      </c>
    </row>
    <row r="68" spans="6:10">
      <c r="F68" t="s">
        <v>706</v>
      </c>
      <c r="G68" s="7">
        <v>156</v>
      </c>
      <c r="I68" s="7"/>
      <c r="J68" t="s">
        <v>543</v>
      </c>
    </row>
    <row r="69" spans="6:10">
      <c r="F69" t="s">
        <v>707</v>
      </c>
      <c r="G69" s="7">
        <v>159</v>
      </c>
      <c r="I69" s="7"/>
      <c r="J69" t="s">
        <v>544</v>
      </c>
    </row>
    <row r="70" spans="6:10">
      <c r="F70" t="s">
        <v>188</v>
      </c>
      <c r="G70" s="7">
        <v>164</v>
      </c>
      <c r="I70" s="7"/>
      <c r="J70" t="s">
        <v>545</v>
      </c>
    </row>
    <row r="71" spans="6:10">
      <c r="F71" t="s">
        <v>189</v>
      </c>
      <c r="G71" s="7">
        <v>166</v>
      </c>
      <c r="I71" s="7"/>
      <c r="J71" t="s">
        <v>546</v>
      </c>
    </row>
    <row r="72" spans="6:10">
      <c r="F72" t="s">
        <v>190</v>
      </c>
      <c r="G72" s="7">
        <v>190</v>
      </c>
      <c r="I72" s="7"/>
      <c r="J72" t="s">
        <v>547</v>
      </c>
    </row>
    <row r="73" spans="6:10">
      <c r="F73" t="s">
        <v>191</v>
      </c>
      <c r="G73" s="7">
        <v>200</v>
      </c>
      <c r="I73" s="7"/>
      <c r="J73" t="s">
        <v>548</v>
      </c>
    </row>
    <row r="74" spans="6:10">
      <c r="F74" t="s">
        <v>192</v>
      </c>
      <c r="G74" s="7">
        <v>205</v>
      </c>
      <c r="I74" s="7"/>
      <c r="J74" t="s">
        <v>549</v>
      </c>
    </row>
    <row r="75" spans="6:10">
      <c r="F75" t="s">
        <v>708</v>
      </c>
      <c r="G75" s="7">
        <v>206</v>
      </c>
      <c r="I75" s="7"/>
      <c r="J75" t="s">
        <v>550</v>
      </c>
    </row>
    <row r="76" spans="6:10">
      <c r="F76" t="s">
        <v>194</v>
      </c>
      <c r="G76" s="7">
        <v>207</v>
      </c>
      <c r="I76" s="7"/>
      <c r="J76" t="s">
        <v>551</v>
      </c>
    </row>
    <row r="77" spans="6:10">
      <c r="F77" t="s">
        <v>709</v>
      </c>
      <c r="G77" s="7">
        <v>208</v>
      </c>
      <c r="I77" s="7"/>
      <c r="J77" t="s">
        <v>552</v>
      </c>
    </row>
    <row r="78" spans="6:10">
      <c r="F78" t="s">
        <v>710</v>
      </c>
      <c r="G78" s="7">
        <v>214</v>
      </c>
      <c r="I78" s="7"/>
      <c r="J78" t="s">
        <v>553</v>
      </c>
    </row>
    <row r="79" spans="6:10">
      <c r="F79" t="s">
        <v>196</v>
      </c>
      <c r="G79" s="7">
        <v>215</v>
      </c>
      <c r="I79" s="7"/>
      <c r="J79" t="s">
        <v>554</v>
      </c>
    </row>
    <row r="80" spans="6:10">
      <c r="F80" t="s">
        <v>197</v>
      </c>
      <c r="G80" s="7">
        <v>220</v>
      </c>
      <c r="I80" s="7"/>
      <c r="J80" t="s">
        <v>555</v>
      </c>
    </row>
    <row r="81" spans="6:10">
      <c r="F81" t="s">
        <v>711</v>
      </c>
      <c r="G81" s="7">
        <v>224</v>
      </c>
      <c r="I81" s="7"/>
      <c r="J81" t="s">
        <v>556</v>
      </c>
    </row>
    <row r="82" spans="6:10">
      <c r="G82" s="7">
        <v>228</v>
      </c>
      <c r="I82" s="7"/>
      <c r="J82" t="s">
        <v>557</v>
      </c>
    </row>
    <row r="83" spans="6:10">
      <c r="G83" s="7">
        <v>230</v>
      </c>
      <c r="I83" s="7"/>
      <c r="J83" t="s">
        <v>558</v>
      </c>
    </row>
    <row r="84" spans="6:10">
      <c r="G84" s="7">
        <v>240</v>
      </c>
      <c r="I84" s="7"/>
      <c r="J84" t="s">
        <v>559</v>
      </c>
    </row>
    <row r="85" spans="6:10">
      <c r="G85" s="7">
        <v>260</v>
      </c>
      <c r="I85" s="7"/>
      <c r="J85" t="s">
        <v>560</v>
      </c>
    </row>
    <row r="86" spans="6:10">
      <c r="G86" s="7">
        <v>280</v>
      </c>
      <c r="I86" s="7"/>
      <c r="J86" t="s">
        <v>561</v>
      </c>
    </row>
    <row r="87" spans="6:10">
      <c r="G87" s="7">
        <v>300</v>
      </c>
      <c r="I87" s="7"/>
      <c r="J87" t="s">
        <v>562</v>
      </c>
    </row>
    <row r="88" spans="6:10">
      <c r="G88" s="7">
        <v>306</v>
      </c>
      <c r="I88" s="7"/>
      <c r="J88" t="s">
        <v>563</v>
      </c>
    </row>
    <row r="89" spans="6:10">
      <c r="G89" s="7">
        <v>307</v>
      </c>
      <c r="I89" s="7"/>
      <c r="J89" t="s">
        <v>564</v>
      </c>
    </row>
    <row r="90" spans="6:10">
      <c r="G90" s="7">
        <v>308</v>
      </c>
      <c r="I90" s="7"/>
      <c r="J90" t="s">
        <v>565</v>
      </c>
    </row>
    <row r="91" spans="6:10">
      <c r="G91" s="7">
        <v>309</v>
      </c>
      <c r="I91" s="7"/>
      <c r="J91" t="s">
        <v>566</v>
      </c>
    </row>
    <row r="92" spans="6:10">
      <c r="G92" s="7">
        <v>323</v>
      </c>
      <c r="I92" s="7"/>
      <c r="J92" t="s">
        <v>567</v>
      </c>
    </row>
    <row r="93" spans="6:10">
      <c r="G93" s="7">
        <v>328</v>
      </c>
      <c r="I93" s="7"/>
      <c r="J93" t="s">
        <v>568</v>
      </c>
    </row>
    <row r="94" spans="6:10">
      <c r="G94" s="7">
        <v>340</v>
      </c>
      <c r="I94" s="7"/>
      <c r="J94" t="s">
        <v>569</v>
      </c>
    </row>
    <row r="95" spans="6:10">
      <c r="G95" s="7">
        <v>348</v>
      </c>
      <c r="I95" s="7"/>
      <c r="J95" t="s">
        <v>570</v>
      </c>
    </row>
    <row r="96" spans="6:10">
      <c r="G96" s="7">
        <v>350</v>
      </c>
      <c r="I96" s="7"/>
      <c r="J96" t="s">
        <v>571</v>
      </c>
    </row>
    <row r="97" spans="7:10">
      <c r="G97" s="7">
        <v>353</v>
      </c>
      <c r="I97" s="7"/>
      <c r="J97" t="s">
        <v>572</v>
      </c>
    </row>
    <row r="98" spans="7:10">
      <c r="G98" s="7">
        <v>355</v>
      </c>
      <c r="I98" s="7"/>
      <c r="J98" t="s">
        <v>573</v>
      </c>
    </row>
    <row r="99" spans="7:10">
      <c r="G99" s="7">
        <v>360</v>
      </c>
      <c r="I99" s="7"/>
      <c r="J99" t="s">
        <v>574</v>
      </c>
    </row>
    <row r="100" spans="7:10">
      <c r="G100" s="7">
        <v>400</v>
      </c>
      <c r="I100" s="7"/>
      <c r="J100" t="s">
        <v>575</v>
      </c>
    </row>
    <row r="101" spans="7:10">
      <c r="G101" s="7">
        <v>405</v>
      </c>
      <c r="I101" s="7"/>
      <c r="J101" t="s">
        <v>576</v>
      </c>
    </row>
    <row r="102" spans="7:10">
      <c r="G102" s="7">
        <v>406</v>
      </c>
      <c r="I102" s="7"/>
      <c r="J102" t="s">
        <v>577</v>
      </c>
    </row>
    <row r="103" spans="7:10">
      <c r="G103" s="7">
        <v>407</v>
      </c>
      <c r="I103" s="7"/>
      <c r="J103" t="s">
        <v>578</v>
      </c>
    </row>
    <row r="104" spans="7:10">
      <c r="G104" s="7">
        <v>412</v>
      </c>
      <c r="I104" s="7"/>
      <c r="J104" t="s">
        <v>579</v>
      </c>
    </row>
    <row r="105" spans="7:10">
      <c r="G105" s="7">
        <v>420</v>
      </c>
      <c r="I105" s="7"/>
      <c r="J105" t="s">
        <v>580</v>
      </c>
    </row>
    <row r="106" spans="7:10">
      <c r="G106" s="7">
        <v>430</v>
      </c>
      <c r="I106" s="7"/>
      <c r="J106" t="s">
        <v>581</v>
      </c>
    </row>
    <row r="107" spans="7:10">
      <c r="G107" s="7">
        <v>440</v>
      </c>
      <c r="I107" s="7"/>
      <c r="J107" t="s">
        <v>582</v>
      </c>
    </row>
    <row r="108" spans="7:10">
      <c r="G108" s="7">
        <v>456</v>
      </c>
      <c r="I108" s="7"/>
      <c r="J108" t="s">
        <v>583</v>
      </c>
    </row>
    <row r="109" spans="7:10">
      <c r="G109" s="7">
        <v>458</v>
      </c>
      <c r="I109" s="7"/>
      <c r="J109" t="s">
        <v>584</v>
      </c>
    </row>
    <row r="110" spans="7:10">
      <c r="G110" s="7">
        <v>460</v>
      </c>
      <c r="I110" s="7"/>
      <c r="J110" t="s">
        <v>585</v>
      </c>
    </row>
    <row r="111" spans="7:10">
      <c r="G111" s="7">
        <v>480</v>
      </c>
      <c r="I111" s="7"/>
      <c r="J111" t="s">
        <v>586</v>
      </c>
    </row>
    <row r="112" spans="7:10">
      <c r="G112" s="7">
        <v>505</v>
      </c>
      <c r="I112" s="7"/>
      <c r="J112" t="s">
        <v>587</v>
      </c>
    </row>
    <row r="113" spans="7:10">
      <c r="G113" s="7">
        <v>508</v>
      </c>
      <c r="I113" s="7"/>
      <c r="J113" t="s">
        <v>588</v>
      </c>
    </row>
    <row r="114" spans="7:10">
      <c r="G114" s="7">
        <v>512</v>
      </c>
      <c r="I114" s="7"/>
      <c r="J114" t="s">
        <v>589</v>
      </c>
    </row>
    <row r="115" spans="7:10">
      <c r="G115" s="7">
        <v>599</v>
      </c>
      <c r="I115" s="7"/>
      <c r="J115" t="s">
        <v>590</v>
      </c>
    </row>
    <row r="116" spans="7:10">
      <c r="G116" s="7">
        <v>600</v>
      </c>
      <c r="I116" s="7"/>
      <c r="J116" t="s">
        <v>591</v>
      </c>
    </row>
    <row r="117" spans="7:10">
      <c r="G117" s="7">
        <v>604</v>
      </c>
      <c r="I117" s="7"/>
      <c r="J117" t="s">
        <v>592</v>
      </c>
    </row>
    <row r="118" spans="7:10">
      <c r="G118" s="7">
        <v>605</v>
      </c>
      <c r="I118" s="7"/>
      <c r="J118" t="s">
        <v>593</v>
      </c>
    </row>
    <row r="119" spans="7:10">
      <c r="G119" s="7">
        <v>607</v>
      </c>
      <c r="I119" s="7"/>
      <c r="J119" t="s">
        <v>594</v>
      </c>
    </row>
    <row r="120" spans="7:10">
      <c r="G120" s="7">
        <v>612</v>
      </c>
      <c r="I120" s="7"/>
      <c r="J120" t="s">
        <v>595</v>
      </c>
    </row>
    <row r="121" spans="7:10">
      <c r="G121" s="7">
        <v>626</v>
      </c>
      <c r="I121" s="7"/>
      <c r="J121" t="s">
        <v>596</v>
      </c>
    </row>
    <row r="122" spans="7:10">
      <c r="G122" s="7">
        <v>695</v>
      </c>
      <c r="I122" s="7"/>
      <c r="J122" t="s">
        <v>597</v>
      </c>
    </row>
    <row r="123" spans="7:10">
      <c r="G123" s="7">
        <v>740</v>
      </c>
      <c r="I123" s="7"/>
      <c r="J123" t="s">
        <v>598</v>
      </c>
    </row>
    <row r="124" spans="7:10">
      <c r="G124" s="7">
        <v>760</v>
      </c>
      <c r="I124" s="7"/>
      <c r="J124" t="s">
        <v>599</v>
      </c>
    </row>
    <row r="125" spans="7:10">
      <c r="G125" s="7">
        <v>780</v>
      </c>
      <c r="I125" s="7"/>
      <c r="J125" t="s">
        <v>600</v>
      </c>
    </row>
    <row r="126" spans="7:10">
      <c r="G126" s="7">
        <v>800</v>
      </c>
      <c r="I126" s="7"/>
      <c r="J126" t="s">
        <v>601</v>
      </c>
    </row>
    <row r="127" spans="7:10">
      <c r="G127" s="7">
        <v>806</v>
      </c>
      <c r="I127" s="7"/>
      <c r="J127" t="s">
        <v>602</v>
      </c>
    </row>
    <row r="128" spans="7:10">
      <c r="G128" s="7">
        <v>807</v>
      </c>
      <c r="I128" s="7"/>
      <c r="J128" t="s">
        <v>603</v>
      </c>
    </row>
    <row r="129" spans="7:10">
      <c r="G129" s="7">
        <v>850</v>
      </c>
      <c r="I129" s="7"/>
      <c r="J129" t="s">
        <v>604</v>
      </c>
    </row>
    <row r="130" spans="7:10">
      <c r="G130" s="7">
        <v>900</v>
      </c>
      <c r="I130" s="7"/>
      <c r="J130" t="s">
        <v>605</v>
      </c>
    </row>
    <row r="131" spans="7:10">
      <c r="G131" s="7">
        <v>911</v>
      </c>
      <c r="I131" s="7"/>
      <c r="J131" t="s">
        <v>606</v>
      </c>
    </row>
    <row r="132" spans="7:10">
      <c r="G132" s="7">
        <v>918</v>
      </c>
      <c r="I132" s="7"/>
      <c r="J132" t="s">
        <v>607</v>
      </c>
    </row>
    <row r="133" spans="7:10">
      <c r="G133" s="7">
        <v>924</v>
      </c>
      <c r="I133" s="7"/>
      <c r="J133" t="s">
        <v>608</v>
      </c>
    </row>
    <row r="134" spans="7:10">
      <c r="G134" s="7">
        <v>928</v>
      </c>
      <c r="I134" s="7"/>
      <c r="J134" t="s">
        <v>609</v>
      </c>
    </row>
    <row r="135" spans="7:10">
      <c r="G135" s="7">
        <v>929</v>
      </c>
      <c r="I135" s="7"/>
      <c r="J135" t="s">
        <v>610</v>
      </c>
    </row>
    <row r="136" spans="7:10">
      <c r="G136" s="7">
        <v>940</v>
      </c>
      <c r="I136" s="7"/>
      <c r="J136" t="s">
        <v>611</v>
      </c>
    </row>
    <row r="137" spans="7:10">
      <c r="G137" s="7">
        <v>944</v>
      </c>
      <c r="I137" s="7"/>
      <c r="J137" t="s">
        <v>142</v>
      </c>
    </row>
    <row r="138" spans="7:10">
      <c r="G138" s="7">
        <v>960</v>
      </c>
      <c r="I138" s="7"/>
      <c r="J138" t="s">
        <v>612</v>
      </c>
    </row>
    <row r="139" spans="7:10">
      <c r="G139" s="7">
        <v>968</v>
      </c>
      <c r="I139" s="7"/>
      <c r="J139" t="s">
        <v>613</v>
      </c>
    </row>
    <row r="140" spans="7:10">
      <c r="G140" s="7">
        <v>1007</v>
      </c>
      <c r="I140" s="7"/>
      <c r="J140" t="s">
        <v>614</v>
      </c>
    </row>
    <row r="141" spans="7:10">
      <c r="G141" s="7">
        <v>1800</v>
      </c>
      <c r="I141" s="7"/>
      <c r="J141" t="s">
        <v>615</v>
      </c>
    </row>
    <row r="142" spans="7:10">
      <c r="G142" s="7">
        <v>3008</v>
      </c>
      <c r="I142" s="7"/>
      <c r="J142" t="s">
        <v>616</v>
      </c>
    </row>
    <row r="143" spans="7:10">
      <c r="G143" s="7">
        <v>4007</v>
      </c>
      <c r="I143" s="7"/>
      <c r="J143" t="s">
        <v>617</v>
      </c>
    </row>
    <row r="144" spans="7:10">
      <c r="G144" s="7">
        <v>4008</v>
      </c>
      <c r="I144" s="7"/>
      <c r="J144" t="s">
        <v>618</v>
      </c>
    </row>
    <row r="145" spans="7:10">
      <c r="G145" s="7">
        <v>5008</v>
      </c>
      <c r="I145" s="7"/>
      <c r="J145" t="s">
        <v>619</v>
      </c>
    </row>
    <row r="146" spans="7:10">
      <c r="G146" s="7">
        <v>9000</v>
      </c>
      <c r="I146" s="7"/>
      <c r="J146" t="s">
        <v>620</v>
      </c>
    </row>
    <row r="147" spans="7:10">
      <c r="G147" s="7" t="s">
        <v>712</v>
      </c>
      <c r="I147" s="7"/>
      <c r="J147" t="s">
        <v>621</v>
      </c>
    </row>
    <row r="148" spans="7:10">
      <c r="G148" s="7" t="s">
        <v>713</v>
      </c>
      <c r="I148" s="7"/>
      <c r="J148" t="s">
        <v>622</v>
      </c>
    </row>
    <row r="149" spans="7:10">
      <c r="G149" s="7" t="s">
        <v>714</v>
      </c>
      <c r="I149" s="7"/>
      <c r="J149" t="s">
        <v>623</v>
      </c>
    </row>
    <row r="150" spans="7:10">
      <c r="G150" s="7" t="s">
        <v>715</v>
      </c>
      <c r="I150" s="7"/>
      <c r="J150" t="s">
        <v>624</v>
      </c>
    </row>
    <row r="151" spans="7:10">
      <c r="G151" s="7" t="s">
        <v>716</v>
      </c>
      <c r="I151" s="7"/>
      <c r="J151" t="s">
        <v>625</v>
      </c>
    </row>
    <row r="152" spans="7:10">
      <c r="G152" s="7" t="s">
        <v>717</v>
      </c>
      <c r="I152" s="7"/>
      <c r="J152" t="s">
        <v>626</v>
      </c>
    </row>
    <row r="153" spans="7:10">
      <c r="G153" s="7" t="s">
        <v>718</v>
      </c>
      <c r="I153" s="7"/>
      <c r="J153" t="s">
        <v>627</v>
      </c>
    </row>
    <row r="154" spans="7:10">
      <c r="G154" s="7" t="s">
        <v>719</v>
      </c>
      <c r="I154" s="7"/>
      <c r="J154" t="s">
        <v>628</v>
      </c>
    </row>
    <row r="155" spans="7:10">
      <c r="G155" s="7" t="s">
        <v>720</v>
      </c>
      <c r="I155" s="7"/>
      <c r="J155" t="s">
        <v>629</v>
      </c>
    </row>
    <row r="156" spans="7:10">
      <c r="G156" s="7" t="s">
        <v>721</v>
      </c>
      <c r="I156" s="7"/>
      <c r="J156" t="s">
        <v>630</v>
      </c>
    </row>
    <row r="157" spans="7:10">
      <c r="G157" s="7" t="s">
        <v>722</v>
      </c>
      <c r="I157" s="7"/>
      <c r="J157" t="s">
        <v>631</v>
      </c>
    </row>
    <row r="158" spans="7:10">
      <c r="G158" s="7" t="s">
        <v>723</v>
      </c>
      <c r="I158" s="7"/>
      <c r="J158" t="s">
        <v>632</v>
      </c>
    </row>
    <row r="159" spans="7:10">
      <c r="G159" s="7" t="s">
        <v>724</v>
      </c>
      <c r="I159" s="7"/>
      <c r="J159" t="s">
        <v>633</v>
      </c>
    </row>
    <row r="160" spans="7:10">
      <c r="G160" s="7" t="s">
        <v>725</v>
      </c>
      <c r="I160" s="7"/>
      <c r="J160" t="s">
        <v>634</v>
      </c>
    </row>
    <row r="161" spans="7:10">
      <c r="G161" s="7" t="s">
        <v>726</v>
      </c>
      <c r="I161" s="7"/>
      <c r="J161" t="s">
        <v>635</v>
      </c>
    </row>
    <row r="162" spans="7:10">
      <c r="G162" s="7" t="s">
        <v>727</v>
      </c>
      <c r="I162" s="7"/>
      <c r="J162" t="s">
        <v>636</v>
      </c>
    </row>
    <row r="163" spans="7:10">
      <c r="G163" s="7" t="s">
        <v>728</v>
      </c>
      <c r="I163" s="7"/>
      <c r="J163" t="s">
        <v>637</v>
      </c>
    </row>
    <row r="164" spans="7:10">
      <c r="G164" s="7" t="s">
        <v>729</v>
      </c>
      <c r="I164" s="7"/>
      <c r="J164" t="s">
        <v>638</v>
      </c>
    </row>
    <row r="165" spans="7:10">
      <c r="G165" s="7" t="s">
        <v>198</v>
      </c>
      <c r="I165" s="7"/>
      <c r="J165" t="s">
        <v>639</v>
      </c>
    </row>
    <row r="166" spans="7:10">
      <c r="G166" s="7" t="s">
        <v>730</v>
      </c>
      <c r="I166" s="7"/>
      <c r="J166" t="s">
        <v>640</v>
      </c>
    </row>
    <row r="167" spans="7:10">
      <c r="G167" s="7" t="s">
        <v>731</v>
      </c>
      <c r="I167" s="7"/>
      <c r="J167" t="s">
        <v>641</v>
      </c>
    </row>
    <row r="168" spans="7:10">
      <c r="G168" s="7" t="s">
        <v>732</v>
      </c>
      <c r="I168" s="7"/>
      <c r="J168" t="s">
        <v>642</v>
      </c>
    </row>
    <row r="169" spans="7:10">
      <c r="G169" s="7" t="s">
        <v>199</v>
      </c>
      <c r="I169" s="7"/>
      <c r="J169" t="s">
        <v>643</v>
      </c>
    </row>
    <row r="170" spans="7:10">
      <c r="G170" s="7" t="s">
        <v>200</v>
      </c>
      <c r="I170" s="7"/>
      <c r="J170" t="s">
        <v>644</v>
      </c>
    </row>
    <row r="171" spans="7:10">
      <c r="G171" s="7" t="s">
        <v>733</v>
      </c>
      <c r="I171" s="7"/>
      <c r="J171" t="s">
        <v>645</v>
      </c>
    </row>
    <row r="172" spans="7:10">
      <c r="G172" s="7" t="s">
        <v>734</v>
      </c>
      <c r="I172" s="7"/>
      <c r="J172" t="s">
        <v>646</v>
      </c>
    </row>
    <row r="173" spans="7:10">
      <c r="G173" s="7" t="s">
        <v>735</v>
      </c>
      <c r="I173" s="7"/>
      <c r="J173" t="s">
        <v>647</v>
      </c>
    </row>
    <row r="174" spans="7:10">
      <c r="G174" s="7" t="s">
        <v>736</v>
      </c>
      <c r="I174" s="7"/>
      <c r="J174" t="s">
        <v>648</v>
      </c>
    </row>
    <row r="175" spans="7:10">
      <c r="G175" s="7" t="s">
        <v>201</v>
      </c>
      <c r="I175" s="7"/>
      <c r="J175" t="s">
        <v>649</v>
      </c>
    </row>
    <row r="176" spans="7:10">
      <c r="G176" s="7" t="s">
        <v>737</v>
      </c>
      <c r="I176" s="7"/>
      <c r="J176" t="s">
        <v>650</v>
      </c>
    </row>
    <row r="177" spans="7:10">
      <c r="G177" s="7" t="s">
        <v>738</v>
      </c>
      <c r="I177" s="7"/>
      <c r="J177" t="s">
        <v>651</v>
      </c>
    </row>
    <row r="178" spans="7:10">
      <c r="G178" s="7" t="s">
        <v>202</v>
      </c>
      <c r="I178" s="7"/>
      <c r="J178" t="s">
        <v>652</v>
      </c>
    </row>
    <row r="179" spans="7:10">
      <c r="G179" s="7" t="s">
        <v>204</v>
      </c>
      <c r="I179" s="7"/>
      <c r="J179" t="s">
        <v>653</v>
      </c>
    </row>
    <row r="180" spans="7:10">
      <c r="G180" s="7" t="s">
        <v>205</v>
      </c>
      <c r="I180" s="7"/>
      <c r="J180" t="s">
        <v>654</v>
      </c>
    </row>
    <row r="181" spans="7:10">
      <c r="G181" s="7" t="s">
        <v>207</v>
      </c>
      <c r="I181" s="7"/>
      <c r="J181" t="s">
        <v>655</v>
      </c>
    </row>
    <row r="182" spans="7:10">
      <c r="G182" s="7" t="s">
        <v>208</v>
      </c>
      <c r="I182" s="7"/>
      <c r="J182" t="s">
        <v>656</v>
      </c>
    </row>
    <row r="183" spans="7:10">
      <c r="G183" s="7" t="s">
        <v>209</v>
      </c>
      <c r="I183" s="7"/>
      <c r="J183" t="s">
        <v>657</v>
      </c>
    </row>
    <row r="184" spans="7:10">
      <c r="G184" s="7" t="s">
        <v>210</v>
      </c>
      <c r="I184" s="7"/>
      <c r="J184" t="s">
        <v>658</v>
      </c>
    </row>
    <row r="185" spans="7:10">
      <c r="G185" s="7" t="s">
        <v>739</v>
      </c>
      <c r="I185" s="7"/>
      <c r="J185" t="s">
        <v>659</v>
      </c>
    </row>
    <row r="186" spans="7:10">
      <c r="G186" s="7" t="s">
        <v>211</v>
      </c>
      <c r="I186" s="7"/>
      <c r="J186" t="s">
        <v>660</v>
      </c>
    </row>
    <row r="187" spans="7:10">
      <c r="G187" s="7" t="s">
        <v>212</v>
      </c>
      <c r="I187" s="7"/>
      <c r="J187" t="s">
        <v>661</v>
      </c>
    </row>
    <row r="188" spans="7:10">
      <c r="G188" s="7" t="s">
        <v>740</v>
      </c>
      <c r="I188" s="7"/>
      <c r="J188" t="s">
        <v>662</v>
      </c>
    </row>
    <row r="189" spans="7:10">
      <c r="G189" s="7" t="s">
        <v>741</v>
      </c>
      <c r="I189" s="7"/>
      <c r="J189" t="s">
        <v>663</v>
      </c>
    </row>
    <row r="190" spans="7:10">
      <c r="G190" s="7" t="s">
        <v>742</v>
      </c>
      <c r="I190" s="7"/>
      <c r="J190" t="s">
        <v>136</v>
      </c>
    </row>
    <row r="191" spans="7:10">
      <c r="G191" s="7" t="s">
        <v>213</v>
      </c>
      <c r="I191" s="7"/>
      <c r="J191" t="s">
        <v>664</v>
      </c>
    </row>
    <row r="192" spans="7:10">
      <c r="G192" s="7" t="s">
        <v>743</v>
      </c>
      <c r="I192" s="7"/>
      <c r="J192" t="s">
        <v>665</v>
      </c>
    </row>
    <row r="193" spans="7:10">
      <c r="G193" s="7" t="s">
        <v>744</v>
      </c>
      <c r="I193" s="7"/>
      <c r="J193" t="s">
        <v>666</v>
      </c>
    </row>
    <row r="194" spans="7:10">
      <c r="G194" s="7" t="s">
        <v>745</v>
      </c>
      <c r="I194" s="7"/>
      <c r="J194" t="s">
        <v>667</v>
      </c>
    </row>
    <row r="195" spans="7:10">
      <c r="G195" s="7" t="s">
        <v>746</v>
      </c>
      <c r="I195" s="7"/>
      <c r="J195" t="s">
        <v>668</v>
      </c>
    </row>
    <row r="196" spans="7:10">
      <c r="G196" s="7" t="s">
        <v>214</v>
      </c>
      <c r="I196" s="7"/>
      <c r="J196" t="s">
        <v>669</v>
      </c>
    </row>
    <row r="197" spans="7:10">
      <c r="G197" s="7" t="s">
        <v>747</v>
      </c>
      <c r="I197" s="7"/>
      <c r="J197" t="s">
        <v>669</v>
      </c>
    </row>
    <row r="198" spans="7:10">
      <c r="G198" s="7" t="s">
        <v>215</v>
      </c>
      <c r="I198" s="7"/>
      <c r="J198" t="s">
        <v>669</v>
      </c>
    </row>
    <row r="199" spans="7:10">
      <c r="G199" s="7" t="s">
        <v>216</v>
      </c>
      <c r="I199" s="7"/>
      <c r="J199" t="s">
        <v>669</v>
      </c>
    </row>
    <row r="200" spans="7:10">
      <c r="G200" s="7" t="s">
        <v>217</v>
      </c>
      <c r="I200" s="7"/>
      <c r="J200" t="s">
        <v>669</v>
      </c>
    </row>
    <row r="201" spans="7:10">
      <c r="G201" s="7" t="s">
        <v>749</v>
      </c>
      <c r="I201" s="7"/>
      <c r="J201" t="s">
        <v>669</v>
      </c>
    </row>
    <row r="202" spans="7:10">
      <c r="G202" s="7" t="s">
        <v>750</v>
      </c>
      <c r="I202" s="7"/>
      <c r="J202" t="s">
        <v>669</v>
      </c>
    </row>
    <row r="203" spans="7:10">
      <c r="G203" s="7" t="s">
        <v>218</v>
      </c>
      <c r="I203" s="7"/>
      <c r="J203" t="s">
        <v>669</v>
      </c>
    </row>
    <row r="204" spans="7:10">
      <c r="G204" s="7" t="s">
        <v>751</v>
      </c>
      <c r="I204" s="7"/>
      <c r="J204" t="s">
        <v>669</v>
      </c>
    </row>
    <row r="205" spans="7:10">
      <c r="G205" s="7" t="s">
        <v>752</v>
      </c>
      <c r="I205" s="7"/>
      <c r="J205" t="s">
        <v>669</v>
      </c>
    </row>
    <row r="206" spans="7:10">
      <c r="G206" s="7" t="s">
        <v>753</v>
      </c>
      <c r="I206" s="7"/>
      <c r="J206" t="s">
        <v>669</v>
      </c>
    </row>
    <row r="207" spans="7:10">
      <c r="G207" s="7" t="s">
        <v>219</v>
      </c>
      <c r="I207" s="7"/>
      <c r="J207" t="s">
        <v>669</v>
      </c>
    </row>
    <row r="208" spans="7:10">
      <c r="G208" s="7" t="s">
        <v>754</v>
      </c>
      <c r="I208" s="7"/>
      <c r="J208" t="s">
        <v>669</v>
      </c>
    </row>
    <row r="209" spans="7:10">
      <c r="G209" s="7" t="s">
        <v>755</v>
      </c>
      <c r="I209" s="7"/>
      <c r="J209" t="s">
        <v>669</v>
      </c>
    </row>
    <row r="210" spans="7:10">
      <c r="G210" s="7" t="s">
        <v>756</v>
      </c>
      <c r="I210" s="7"/>
      <c r="J210" t="s">
        <v>669</v>
      </c>
    </row>
    <row r="211" spans="7:10">
      <c r="G211" s="7" t="s">
        <v>220</v>
      </c>
      <c r="I211" s="7"/>
      <c r="J211" t="s">
        <v>669</v>
      </c>
    </row>
    <row r="212" spans="7:10">
      <c r="G212" s="7" t="s">
        <v>757</v>
      </c>
      <c r="I212" s="7"/>
      <c r="J212" t="s">
        <v>669</v>
      </c>
    </row>
    <row r="213" spans="7:10">
      <c r="G213" s="7" t="s">
        <v>221</v>
      </c>
      <c r="I213" s="7"/>
      <c r="J213" t="s">
        <v>669</v>
      </c>
    </row>
    <row r="214" spans="7:10">
      <c r="G214" s="7" t="s">
        <v>758</v>
      </c>
      <c r="I214" s="7"/>
      <c r="J214" t="s">
        <v>669</v>
      </c>
    </row>
    <row r="215" spans="7:10">
      <c r="G215" s="7" t="s">
        <v>759</v>
      </c>
      <c r="I215" s="7"/>
      <c r="J215" t="s">
        <v>669</v>
      </c>
    </row>
    <row r="216" spans="7:10">
      <c r="G216" s="7" t="s">
        <v>222</v>
      </c>
      <c r="I216" s="7"/>
      <c r="J216" t="s">
        <v>669</v>
      </c>
    </row>
    <row r="217" spans="7:10">
      <c r="G217" s="7" t="s">
        <v>760</v>
      </c>
      <c r="I217" s="7"/>
      <c r="J217" t="s">
        <v>669</v>
      </c>
    </row>
    <row r="218" spans="7:10">
      <c r="G218" s="7" t="s">
        <v>761</v>
      </c>
      <c r="I218" s="7"/>
      <c r="J218" t="s">
        <v>669</v>
      </c>
    </row>
    <row r="219" spans="7:10">
      <c r="G219" s="7" t="s">
        <v>223</v>
      </c>
      <c r="I219" s="7"/>
      <c r="J219" t="s">
        <v>669</v>
      </c>
    </row>
    <row r="220" spans="7:10">
      <c r="G220" s="7" t="s">
        <v>762</v>
      </c>
      <c r="I220" s="7"/>
      <c r="J220" t="s">
        <v>669</v>
      </c>
    </row>
    <row r="221" spans="7:10">
      <c r="G221" s="7" t="s">
        <v>224</v>
      </c>
      <c r="I221" s="7"/>
      <c r="J221" t="s">
        <v>669</v>
      </c>
    </row>
    <row r="222" spans="7:10">
      <c r="G222" s="7" t="s">
        <v>225</v>
      </c>
      <c r="I222" s="7"/>
      <c r="J222" t="s">
        <v>669</v>
      </c>
    </row>
    <row r="223" spans="7:10">
      <c r="G223" s="7" t="s">
        <v>763</v>
      </c>
      <c r="I223" s="7"/>
      <c r="J223" t="s">
        <v>669</v>
      </c>
    </row>
    <row r="224" spans="7:10">
      <c r="G224" s="7" t="s">
        <v>226</v>
      </c>
      <c r="I224" s="7"/>
      <c r="J224" t="s">
        <v>669</v>
      </c>
    </row>
    <row r="225" spans="7:10">
      <c r="G225" s="7" t="s">
        <v>764</v>
      </c>
      <c r="I225" s="7"/>
      <c r="J225" t="s">
        <v>669</v>
      </c>
    </row>
    <row r="226" spans="7:10">
      <c r="G226" s="7" t="s">
        <v>765</v>
      </c>
      <c r="I226" s="7"/>
      <c r="J226" t="s">
        <v>669</v>
      </c>
    </row>
    <row r="227" spans="7:10">
      <c r="G227" s="7" t="s">
        <v>766</v>
      </c>
      <c r="I227" s="7"/>
      <c r="J227" t="s">
        <v>669</v>
      </c>
    </row>
    <row r="228" spans="7:10">
      <c r="G228" s="7" t="s">
        <v>767</v>
      </c>
      <c r="I228" s="7"/>
      <c r="J228" t="s">
        <v>669</v>
      </c>
    </row>
    <row r="229" spans="7:10">
      <c r="G229" s="7" t="s">
        <v>768</v>
      </c>
      <c r="I229" s="7"/>
      <c r="J229" t="s">
        <v>669</v>
      </c>
    </row>
    <row r="230" spans="7:10">
      <c r="G230" s="7" t="s">
        <v>227</v>
      </c>
      <c r="I230" s="7"/>
      <c r="J230" t="s">
        <v>669</v>
      </c>
    </row>
    <row r="231" spans="7:10">
      <c r="G231" s="7" t="s">
        <v>228</v>
      </c>
      <c r="I231" s="7"/>
      <c r="J231" t="s">
        <v>669</v>
      </c>
    </row>
    <row r="232" spans="7:10">
      <c r="G232" s="7" t="s">
        <v>769</v>
      </c>
      <c r="I232" s="7"/>
      <c r="J232" t="s">
        <v>669</v>
      </c>
    </row>
    <row r="233" spans="7:10">
      <c r="G233" s="7" t="s">
        <v>229</v>
      </c>
      <c r="I233" s="7"/>
      <c r="J233" t="s">
        <v>669</v>
      </c>
    </row>
    <row r="234" spans="7:10">
      <c r="G234" s="7" t="s">
        <v>770</v>
      </c>
      <c r="I234" s="7"/>
      <c r="J234" t="s">
        <v>669</v>
      </c>
    </row>
    <row r="235" spans="7:10">
      <c r="G235" s="7" t="s">
        <v>771</v>
      </c>
      <c r="I235" s="7"/>
      <c r="J235" t="s">
        <v>669</v>
      </c>
    </row>
    <row r="236" spans="7:10">
      <c r="G236" s="7" t="s">
        <v>772</v>
      </c>
      <c r="I236" s="7"/>
      <c r="J236" t="s">
        <v>669</v>
      </c>
    </row>
    <row r="237" spans="7:10">
      <c r="G237" s="7" t="s">
        <v>773</v>
      </c>
      <c r="I237" s="7"/>
      <c r="J237" t="s">
        <v>669</v>
      </c>
    </row>
    <row r="238" spans="7:10">
      <c r="G238" s="7" t="s">
        <v>774</v>
      </c>
      <c r="I238" s="7"/>
      <c r="J238" t="s">
        <v>669</v>
      </c>
    </row>
    <row r="239" spans="7:10">
      <c r="G239" s="7" t="s">
        <v>775</v>
      </c>
      <c r="I239" s="7"/>
      <c r="J239" t="s">
        <v>669</v>
      </c>
    </row>
    <row r="240" spans="7:10">
      <c r="G240" s="7" t="s">
        <v>776</v>
      </c>
      <c r="I240" s="7"/>
      <c r="J240" t="s">
        <v>669</v>
      </c>
    </row>
    <row r="241" spans="7:10">
      <c r="G241" s="7" t="s">
        <v>777</v>
      </c>
      <c r="I241" s="7"/>
      <c r="J241" t="s">
        <v>669</v>
      </c>
    </row>
    <row r="242" spans="7:10">
      <c r="G242" s="7" t="s">
        <v>230</v>
      </c>
      <c r="I242" s="7"/>
      <c r="J242" t="s">
        <v>669</v>
      </c>
    </row>
    <row r="243" spans="7:10">
      <c r="G243" s="7" t="s">
        <v>778</v>
      </c>
      <c r="I243" s="7"/>
      <c r="J243" t="s">
        <v>669</v>
      </c>
    </row>
    <row r="244" spans="7:10">
      <c r="G244" s="7" t="s">
        <v>231</v>
      </c>
      <c r="I244" s="7"/>
      <c r="J244" t="s">
        <v>669</v>
      </c>
    </row>
    <row r="245" spans="7:10">
      <c r="G245" s="7" t="s">
        <v>779</v>
      </c>
      <c r="I245" s="7"/>
      <c r="J245" t="s">
        <v>669</v>
      </c>
    </row>
    <row r="246" spans="7:10">
      <c r="G246" s="7" t="s">
        <v>780</v>
      </c>
      <c r="I246" s="7"/>
      <c r="J246" t="s">
        <v>669</v>
      </c>
    </row>
    <row r="247" spans="7:10">
      <c r="G247" s="7" t="s">
        <v>232</v>
      </c>
      <c r="I247" s="7"/>
      <c r="J247" t="s">
        <v>669</v>
      </c>
    </row>
    <row r="248" spans="7:10">
      <c r="G248" s="7" t="s">
        <v>781</v>
      </c>
      <c r="I248" s="7"/>
      <c r="J248" t="s">
        <v>669</v>
      </c>
    </row>
    <row r="249" spans="7:10">
      <c r="G249" s="7" t="s">
        <v>782</v>
      </c>
      <c r="I249" s="7"/>
      <c r="J249" t="s">
        <v>669</v>
      </c>
    </row>
    <row r="250" spans="7:10">
      <c r="G250" s="7" t="s">
        <v>233</v>
      </c>
      <c r="I250" s="7"/>
      <c r="J250" t="s">
        <v>669</v>
      </c>
    </row>
    <row r="251" spans="7:10">
      <c r="G251" s="7" t="s">
        <v>783</v>
      </c>
      <c r="I251" s="7"/>
      <c r="J251" t="s">
        <v>669</v>
      </c>
    </row>
    <row r="252" spans="7:10">
      <c r="G252" s="7" t="s">
        <v>784</v>
      </c>
      <c r="I252" s="7"/>
      <c r="J252" t="s">
        <v>669</v>
      </c>
    </row>
    <row r="253" spans="7:10">
      <c r="G253" s="7" t="s">
        <v>785</v>
      </c>
      <c r="I253" s="7"/>
      <c r="J253" t="s">
        <v>669</v>
      </c>
    </row>
    <row r="254" spans="7:10">
      <c r="G254" s="7" t="s">
        <v>234</v>
      </c>
      <c r="I254" s="7"/>
      <c r="J254" t="s">
        <v>669</v>
      </c>
    </row>
    <row r="255" spans="7:10">
      <c r="G255" s="7" t="s">
        <v>235</v>
      </c>
      <c r="I255" s="7"/>
      <c r="J255" t="s">
        <v>669</v>
      </c>
    </row>
    <row r="256" spans="7:10">
      <c r="G256" s="7" t="s">
        <v>786</v>
      </c>
      <c r="I256" s="7"/>
      <c r="J256" t="s">
        <v>669</v>
      </c>
    </row>
    <row r="257" spans="7:10">
      <c r="G257" s="7" t="s">
        <v>787</v>
      </c>
      <c r="I257" s="7"/>
      <c r="J257" t="s">
        <v>669</v>
      </c>
    </row>
    <row r="258" spans="7:10">
      <c r="G258" s="7" t="s">
        <v>236</v>
      </c>
      <c r="I258" s="7"/>
      <c r="J258" t="s">
        <v>669</v>
      </c>
    </row>
    <row r="259" spans="7:10">
      <c r="G259" s="7" t="s">
        <v>237</v>
      </c>
      <c r="I259" s="7"/>
      <c r="J259" t="s">
        <v>669</v>
      </c>
    </row>
    <row r="260" spans="7:10">
      <c r="G260" s="7" t="s">
        <v>238</v>
      </c>
      <c r="I260" s="7"/>
      <c r="J260" t="s">
        <v>669</v>
      </c>
    </row>
    <row r="261" spans="7:10">
      <c r="G261" s="7" t="s">
        <v>788</v>
      </c>
      <c r="I261" s="7"/>
      <c r="J261" t="s">
        <v>669</v>
      </c>
    </row>
    <row r="262" spans="7:10">
      <c r="G262" s="7" t="s">
        <v>239</v>
      </c>
      <c r="I262" s="7"/>
      <c r="J262" t="s">
        <v>669</v>
      </c>
    </row>
    <row r="263" spans="7:10">
      <c r="G263" s="7" t="s">
        <v>789</v>
      </c>
      <c r="I263" s="7"/>
      <c r="J263" t="s">
        <v>669</v>
      </c>
    </row>
    <row r="264" spans="7:10">
      <c r="G264" s="7" t="s">
        <v>790</v>
      </c>
      <c r="I264" s="7"/>
      <c r="J264" t="s">
        <v>669</v>
      </c>
    </row>
    <row r="265" spans="7:10">
      <c r="G265" s="7" t="s">
        <v>791</v>
      </c>
      <c r="I265" s="7"/>
      <c r="J265" t="s">
        <v>669</v>
      </c>
    </row>
    <row r="266" spans="7:10">
      <c r="G266" s="7" t="s">
        <v>240</v>
      </c>
      <c r="I266" s="7"/>
      <c r="J266" t="s">
        <v>669</v>
      </c>
    </row>
    <row r="267" spans="7:10">
      <c r="G267" s="7" t="s">
        <v>792</v>
      </c>
      <c r="I267" s="7"/>
      <c r="J267" t="s">
        <v>669</v>
      </c>
    </row>
    <row r="268" spans="7:10">
      <c r="G268" s="7" t="s">
        <v>793</v>
      </c>
      <c r="I268" s="7"/>
      <c r="J268" t="s">
        <v>669</v>
      </c>
    </row>
    <row r="269" spans="7:10">
      <c r="G269" s="7" t="s">
        <v>794</v>
      </c>
      <c r="I269" s="7"/>
      <c r="J269" t="s">
        <v>669</v>
      </c>
    </row>
    <row r="270" spans="7:10">
      <c r="G270" s="7" t="s">
        <v>241</v>
      </c>
      <c r="I270" s="7"/>
      <c r="J270" t="s">
        <v>669</v>
      </c>
    </row>
    <row r="271" spans="7:10">
      <c r="G271" s="7" t="s">
        <v>795</v>
      </c>
      <c r="I271" s="7"/>
      <c r="J271" t="s">
        <v>669</v>
      </c>
    </row>
    <row r="272" spans="7:10">
      <c r="G272" s="7" t="s">
        <v>796</v>
      </c>
      <c r="I272" s="7"/>
      <c r="J272" t="s">
        <v>669</v>
      </c>
    </row>
    <row r="273" spans="7:10">
      <c r="G273" s="7" t="s">
        <v>242</v>
      </c>
      <c r="I273" s="7"/>
      <c r="J273" t="s">
        <v>669</v>
      </c>
    </row>
    <row r="274" spans="7:10">
      <c r="G274" s="7" t="s">
        <v>243</v>
      </c>
      <c r="I274" s="7"/>
      <c r="J274" t="s">
        <v>669</v>
      </c>
    </row>
    <row r="275" spans="7:10">
      <c r="G275" s="7" t="s">
        <v>797</v>
      </c>
      <c r="I275" s="7"/>
      <c r="J275" t="s">
        <v>669</v>
      </c>
    </row>
    <row r="276" spans="7:10">
      <c r="G276" s="7" t="s">
        <v>798</v>
      </c>
      <c r="I276" s="7"/>
      <c r="J276" t="s">
        <v>669</v>
      </c>
    </row>
    <row r="277" spans="7:10">
      <c r="G277" s="7" t="s">
        <v>799</v>
      </c>
      <c r="I277" s="7"/>
      <c r="J277" t="s">
        <v>669</v>
      </c>
    </row>
    <row r="278" spans="7:10">
      <c r="G278" s="7" t="s">
        <v>800</v>
      </c>
      <c r="I278" s="7"/>
      <c r="J278" t="s">
        <v>669</v>
      </c>
    </row>
    <row r="279" spans="7:10">
      <c r="G279" s="7" t="s">
        <v>801</v>
      </c>
      <c r="I279" s="7"/>
      <c r="J279" t="s">
        <v>669</v>
      </c>
    </row>
    <row r="280" spans="7:10">
      <c r="G280" s="7" t="s">
        <v>244</v>
      </c>
      <c r="I280" s="7"/>
      <c r="J280" t="s">
        <v>669</v>
      </c>
    </row>
    <row r="281" spans="7:10">
      <c r="G281" s="7" t="s">
        <v>245</v>
      </c>
      <c r="I281" s="7"/>
      <c r="J281" t="s">
        <v>669</v>
      </c>
    </row>
    <row r="282" spans="7:10">
      <c r="G282" s="7" t="s">
        <v>802</v>
      </c>
      <c r="I282" s="7"/>
      <c r="J282" t="s">
        <v>669</v>
      </c>
    </row>
    <row r="283" spans="7:10">
      <c r="G283" s="7" t="s">
        <v>803</v>
      </c>
      <c r="I283" s="7"/>
      <c r="J283" t="s">
        <v>669</v>
      </c>
    </row>
    <row r="284" spans="7:10">
      <c r="G284" s="7" t="s">
        <v>804</v>
      </c>
      <c r="I284" s="7"/>
      <c r="J284" t="s">
        <v>669</v>
      </c>
    </row>
    <row r="285" spans="7:10">
      <c r="G285" s="7" t="s">
        <v>805</v>
      </c>
      <c r="I285" s="7"/>
      <c r="J285" t="s">
        <v>669</v>
      </c>
    </row>
    <row r="286" spans="7:10">
      <c r="G286" s="7" t="s">
        <v>246</v>
      </c>
      <c r="I286" s="7"/>
      <c r="J286" t="s">
        <v>669</v>
      </c>
    </row>
    <row r="287" spans="7:10">
      <c r="G287" s="7" t="s">
        <v>247</v>
      </c>
      <c r="I287" s="7"/>
      <c r="J287" t="s">
        <v>669</v>
      </c>
    </row>
    <row r="288" spans="7:10">
      <c r="G288" s="7" t="s">
        <v>248</v>
      </c>
      <c r="I288" s="7"/>
      <c r="J288" t="s">
        <v>669</v>
      </c>
    </row>
    <row r="289" spans="7:10">
      <c r="G289" s="7" t="s">
        <v>806</v>
      </c>
      <c r="I289" s="7"/>
      <c r="J289" t="s">
        <v>669</v>
      </c>
    </row>
    <row r="290" spans="7:10">
      <c r="G290" s="7" t="s">
        <v>807</v>
      </c>
      <c r="I290" s="7"/>
      <c r="J290" t="s">
        <v>669</v>
      </c>
    </row>
    <row r="291" spans="7:10">
      <c r="G291" s="7" t="s">
        <v>808</v>
      </c>
      <c r="I291" s="7"/>
      <c r="J291" t="s">
        <v>669</v>
      </c>
    </row>
    <row r="292" spans="7:10">
      <c r="G292" s="7" t="s">
        <v>809</v>
      </c>
      <c r="I292" s="7"/>
      <c r="J292" t="s">
        <v>669</v>
      </c>
    </row>
    <row r="293" spans="7:10">
      <c r="G293" s="7" t="s">
        <v>810</v>
      </c>
      <c r="I293" s="7"/>
      <c r="J293" t="s">
        <v>669</v>
      </c>
    </row>
    <row r="294" spans="7:10">
      <c r="G294" s="7" t="s">
        <v>811</v>
      </c>
      <c r="I294" s="7"/>
      <c r="J294" t="s">
        <v>669</v>
      </c>
    </row>
    <row r="295" spans="7:10">
      <c r="G295" s="7" t="s">
        <v>812</v>
      </c>
      <c r="I295" s="7"/>
      <c r="J295" t="s">
        <v>669</v>
      </c>
    </row>
    <row r="296" spans="7:10">
      <c r="G296" s="7" t="s">
        <v>813</v>
      </c>
      <c r="I296" s="7"/>
      <c r="J296" t="s">
        <v>669</v>
      </c>
    </row>
    <row r="297" spans="7:10">
      <c r="G297" s="7" t="s">
        <v>249</v>
      </c>
      <c r="I297" s="7"/>
      <c r="J297" t="s">
        <v>669</v>
      </c>
    </row>
    <row r="298" spans="7:10">
      <c r="G298" s="7" t="s">
        <v>814</v>
      </c>
      <c r="I298" s="7"/>
      <c r="J298" t="s">
        <v>669</v>
      </c>
    </row>
    <row r="299" spans="7:10">
      <c r="G299" s="7" t="s">
        <v>250</v>
      </c>
      <c r="I299" s="7"/>
      <c r="J299" t="s">
        <v>669</v>
      </c>
    </row>
    <row r="300" spans="7:10">
      <c r="G300" s="7" t="s">
        <v>815</v>
      </c>
      <c r="I300" s="7"/>
      <c r="J300" t="s">
        <v>669</v>
      </c>
    </row>
    <row r="301" spans="7:10">
      <c r="G301" s="7" t="s">
        <v>251</v>
      </c>
      <c r="I301" s="7"/>
      <c r="J301" t="s">
        <v>669</v>
      </c>
    </row>
    <row r="302" spans="7:10">
      <c r="G302" s="7" t="s">
        <v>816</v>
      </c>
      <c r="I302" s="7"/>
      <c r="J302" t="s">
        <v>669</v>
      </c>
    </row>
    <row r="303" spans="7:10">
      <c r="G303" s="7" t="s">
        <v>817</v>
      </c>
      <c r="I303" s="7"/>
      <c r="J303" t="s">
        <v>669</v>
      </c>
    </row>
    <row r="304" spans="7:10">
      <c r="G304" s="7" t="s">
        <v>252</v>
      </c>
      <c r="I304" s="7"/>
      <c r="J304" t="s">
        <v>669</v>
      </c>
    </row>
    <row r="305" spans="7:10">
      <c r="G305" s="7" t="s">
        <v>253</v>
      </c>
      <c r="I305" s="7"/>
      <c r="J305" t="s">
        <v>669</v>
      </c>
    </row>
    <row r="306" spans="7:10">
      <c r="G306" s="7" t="s">
        <v>254</v>
      </c>
      <c r="I306" s="7"/>
      <c r="J306" t="s">
        <v>669</v>
      </c>
    </row>
    <row r="307" spans="7:10">
      <c r="G307" s="7" t="s">
        <v>255</v>
      </c>
      <c r="I307" s="7"/>
      <c r="J307" t="s">
        <v>669</v>
      </c>
    </row>
    <row r="308" spans="7:10">
      <c r="G308" s="7" t="s">
        <v>818</v>
      </c>
      <c r="I308" s="7"/>
      <c r="J308" t="s">
        <v>669</v>
      </c>
    </row>
    <row r="309" spans="7:10">
      <c r="G309" s="7" t="s">
        <v>819</v>
      </c>
      <c r="I309" s="7"/>
      <c r="J309" t="s">
        <v>669</v>
      </c>
    </row>
    <row r="310" spans="7:10">
      <c r="G310" s="7" t="s">
        <v>256</v>
      </c>
      <c r="I310" s="7"/>
      <c r="J310" t="s">
        <v>669</v>
      </c>
    </row>
    <row r="311" spans="7:10">
      <c r="G311" s="7" t="s">
        <v>257</v>
      </c>
      <c r="I311" s="7"/>
      <c r="J311" t="s">
        <v>669</v>
      </c>
    </row>
    <row r="312" spans="7:10">
      <c r="G312" s="7" t="s">
        <v>258</v>
      </c>
      <c r="I312" s="7"/>
      <c r="J312" t="s">
        <v>669</v>
      </c>
    </row>
    <row r="313" spans="7:10">
      <c r="G313" s="7" t="s">
        <v>259</v>
      </c>
      <c r="I313" s="7"/>
      <c r="J313" t="s">
        <v>669</v>
      </c>
    </row>
    <row r="314" spans="7:10">
      <c r="G314" s="7" t="s">
        <v>260</v>
      </c>
      <c r="I314" s="7"/>
      <c r="J314" t="s">
        <v>669</v>
      </c>
    </row>
    <row r="315" spans="7:10">
      <c r="G315" s="7" t="s">
        <v>261</v>
      </c>
      <c r="I315" s="7"/>
      <c r="J315" t="s">
        <v>669</v>
      </c>
    </row>
    <row r="316" spans="7:10">
      <c r="G316" s="7" t="s">
        <v>820</v>
      </c>
      <c r="I316" s="7"/>
      <c r="J316" t="s">
        <v>669</v>
      </c>
    </row>
    <row r="317" spans="7:10">
      <c r="G317" s="7" t="s">
        <v>262</v>
      </c>
      <c r="I317" s="7"/>
      <c r="J317" t="s">
        <v>669</v>
      </c>
    </row>
    <row r="318" spans="7:10">
      <c r="G318" s="7" t="s">
        <v>263</v>
      </c>
      <c r="I318" s="7"/>
      <c r="J318" t="s">
        <v>669</v>
      </c>
    </row>
    <row r="319" spans="7:10">
      <c r="G319" s="7" t="s">
        <v>821</v>
      </c>
      <c r="I319" s="7"/>
      <c r="J319" t="s">
        <v>669</v>
      </c>
    </row>
    <row r="320" spans="7:10">
      <c r="G320" s="7" t="s">
        <v>264</v>
      </c>
      <c r="I320" s="7"/>
      <c r="J320" t="s">
        <v>669</v>
      </c>
    </row>
    <row r="321" spans="7:10">
      <c r="G321" s="7" t="s">
        <v>265</v>
      </c>
      <c r="I321" s="7"/>
      <c r="J321" t="s">
        <v>669</v>
      </c>
    </row>
    <row r="322" spans="7:10">
      <c r="G322" s="7" t="s">
        <v>822</v>
      </c>
      <c r="I322" s="7"/>
      <c r="J322" t="s">
        <v>669</v>
      </c>
    </row>
    <row r="323" spans="7:10">
      <c r="G323" s="7" t="s">
        <v>266</v>
      </c>
      <c r="I323" s="7"/>
      <c r="J323" t="s">
        <v>669</v>
      </c>
    </row>
    <row r="324" spans="7:10">
      <c r="G324" s="7" t="s">
        <v>823</v>
      </c>
      <c r="I324" s="7"/>
      <c r="J324" t="s">
        <v>669</v>
      </c>
    </row>
    <row r="325" spans="7:10">
      <c r="G325" s="7" t="s">
        <v>824</v>
      </c>
      <c r="I325" s="7"/>
      <c r="J325" t="s">
        <v>669</v>
      </c>
    </row>
    <row r="326" spans="7:10">
      <c r="G326" s="7" t="s">
        <v>825</v>
      </c>
      <c r="I326" s="7"/>
      <c r="J326" t="s">
        <v>669</v>
      </c>
    </row>
    <row r="327" spans="7:10">
      <c r="G327" s="7" t="s">
        <v>267</v>
      </c>
      <c r="I327" s="7"/>
      <c r="J327" t="s">
        <v>669</v>
      </c>
    </row>
    <row r="328" spans="7:10">
      <c r="G328" s="7" t="s">
        <v>826</v>
      </c>
      <c r="I328" s="7"/>
      <c r="J328" t="s">
        <v>669</v>
      </c>
    </row>
    <row r="329" spans="7:10">
      <c r="G329" s="7" t="s">
        <v>827</v>
      </c>
      <c r="I329" s="7"/>
      <c r="J329" t="s">
        <v>669</v>
      </c>
    </row>
    <row r="330" spans="7:10">
      <c r="G330" s="7" t="s">
        <v>828</v>
      </c>
      <c r="I330" s="7"/>
      <c r="J330" t="s">
        <v>669</v>
      </c>
    </row>
    <row r="331" spans="7:10">
      <c r="G331" s="7" t="s">
        <v>829</v>
      </c>
      <c r="I331" s="7"/>
      <c r="J331" t="s">
        <v>669</v>
      </c>
    </row>
    <row r="332" spans="7:10">
      <c r="G332" s="7" t="s">
        <v>830</v>
      </c>
      <c r="I332" s="7"/>
      <c r="J332" t="s">
        <v>669</v>
      </c>
    </row>
    <row r="333" spans="7:10">
      <c r="G333" s="7" t="s">
        <v>831</v>
      </c>
      <c r="I333" s="7"/>
      <c r="J333" t="s">
        <v>669</v>
      </c>
    </row>
    <row r="334" spans="7:10">
      <c r="G334" s="7" t="s">
        <v>832</v>
      </c>
      <c r="I334" s="7"/>
      <c r="J334" t="s">
        <v>669</v>
      </c>
    </row>
    <row r="335" spans="7:10">
      <c r="G335" s="7" t="s">
        <v>268</v>
      </c>
      <c r="I335" s="7"/>
      <c r="J335" t="s">
        <v>669</v>
      </c>
    </row>
    <row r="336" spans="7:10">
      <c r="G336" s="7" t="s">
        <v>269</v>
      </c>
      <c r="I336" s="7"/>
      <c r="J336" t="s">
        <v>669</v>
      </c>
    </row>
    <row r="337" spans="7:10">
      <c r="G337" s="7" t="s">
        <v>833</v>
      </c>
      <c r="I337" s="7"/>
      <c r="J337" t="s">
        <v>669</v>
      </c>
    </row>
    <row r="338" spans="7:10">
      <c r="G338" s="7" t="s">
        <v>834</v>
      </c>
      <c r="I338" s="7"/>
      <c r="J338" t="s">
        <v>669</v>
      </c>
    </row>
    <row r="339" spans="7:10">
      <c r="G339" s="7" t="s">
        <v>835</v>
      </c>
      <c r="I339" s="7"/>
      <c r="J339" t="s">
        <v>669</v>
      </c>
    </row>
    <row r="340" spans="7:10">
      <c r="G340" s="7" t="s">
        <v>837</v>
      </c>
      <c r="I340" s="7"/>
      <c r="J340" t="s">
        <v>669</v>
      </c>
    </row>
    <row r="341" spans="7:10">
      <c r="G341" s="7" t="s">
        <v>838</v>
      </c>
      <c r="I341" s="7"/>
      <c r="J341" t="s">
        <v>669</v>
      </c>
    </row>
    <row r="342" spans="7:10">
      <c r="G342" s="7" t="s">
        <v>839</v>
      </c>
      <c r="I342" s="7"/>
      <c r="J342" t="s">
        <v>669</v>
      </c>
    </row>
    <row r="343" spans="7:10">
      <c r="G343" s="7" t="s">
        <v>270</v>
      </c>
      <c r="I343" s="7"/>
      <c r="J343" t="s">
        <v>669</v>
      </c>
    </row>
    <row r="344" spans="7:10">
      <c r="G344" s="7" t="s">
        <v>686</v>
      </c>
      <c r="I344" s="7"/>
      <c r="J344" t="s">
        <v>669</v>
      </c>
    </row>
    <row r="345" spans="7:10">
      <c r="G345" s="7" t="s">
        <v>840</v>
      </c>
      <c r="I345" s="7"/>
      <c r="J345" t="s">
        <v>669</v>
      </c>
    </row>
    <row r="346" spans="7:10">
      <c r="G346" s="7" t="s">
        <v>271</v>
      </c>
      <c r="I346" s="7"/>
      <c r="J346" t="s">
        <v>669</v>
      </c>
    </row>
    <row r="347" spans="7:10">
      <c r="G347" s="7" t="s">
        <v>841</v>
      </c>
      <c r="I347" s="7"/>
      <c r="J347" t="s">
        <v>669</v>
      </c>
    </row>
    <row r="348" spans="7:10">
      <c r="G348" s="7" t="s">
        <v>842</v>
      </c>
      <c r="I348" s="7"/>
      <c r="J348" t="s">
        <v>669</v>
      </c>
    </row>
    <row r="349" spans="7:10">
      <c r="G349" s="7" t="s">
        <v>843</v>
      </c>
      <c r="I349" s="7"/>
      <c r="J349" t="s">
        <v>669</v>
      </c>
    </row>
    <row r="350" spans="7:10">
      <c r="G350" s="7" t="s">
        <v>844</v>
      </c>
      <c r="I350" s="7"/>
      <c r="J350" t="s">
        <v>669</v>
      </c>
    </row>
    <row r="351" spans="7:10">
      <c r="G351" s="7" t="s">
        <v>845</v>
      </c>
      <c r="I351" s="7"/>
      <c r="J351" t="s">
        <v>669</v>
      </c>
    </row>
    <row r="352" spans="7:10">
      <c r="G352" s="7" t="s">
        <v>846</v>
      </c>
      <c r="I352" s="7"/>
      <c r="J352" t="s">
        <v>669</v>
      </c>
    </row>
    <row r="353" spans="7:10">
      <c r="G353" s="7" t="s">
        <v>847</v>
      </c>
      <c r="I353" s="7"/>
      <c r="J353" t="s">
        <v>669</v>
      </c>
    </row>
    <row r="354" spans="7:10">
      <c r="G354" s="7" t="s">
        <v>272</v>
      </c>
      <c r="I354" s="7"/>
      <c r="J354" t="s">
        <v>669</v>
      </c>
    </row>
    <row r="355" spans="7:10">
      <c r="G355" s="7" t="s">
        <v>849</v>
      </c>
      <c r="I355" s="7"/>
      <c r="J355" t="s">
        <v>669</v>
      </c>
    </row>
    <row r="356" spans="7:10">
      <c r="G356" s="7" t="s">
        <v>850</v>
      </c>
      <c r="I356" s="7"/>
      <c r="J356" t="s">
        <v>669</v>
      </c>
    </row>
    <row r="357" spans="7:10">
      <c r="G357" s="7" t="s">
        <v>273</v>
      </c>
      <c r="I357" s="7"/>
      <c r="J357" t="s">
        <v>669</v>
      </c>
    </row>
    <row r="358" spans="7:10">
      <c r="G358" s="7" t="s">
        <v>851</v>
      </c>
      <c r="I358" s="7"/>
      <c r="J358" t="s">
        <v>669</v>
      </c>
    </row>
    <row r="359" spans="7:10">
      <c r="G359" s="7" t="s">
        <v>852</v>
      </c>
      <c r="I359" s="7"/>
      <c r="J359" t="s">
        <v>669</v>
      </c>
    </row>
    <row r="360" spans="7:10">
      <c r="G360" s="7" t="s">
        <v>853</v>
      </c>
      <c r="I360" s="7"/>
      <c r="J360" t="s">
        <v>669</v>
      </c>
    </row>
    <row r="361" spans="7:10">
      <c r="G361" s="7" t="s">
        <v>854</v>
      </c>
      <c r="I361" s="7"/>
      <c r="J361" t="s">
        <v>669</v>
      </c>
    </row>
    <row r="362" spans="7:10">
      <c r="G362" s="7" t="s">
        <v>855</v>
      </c>
      <c r="I362" s="7"/>
      <c r="J362" t="s">
        <v>669</v>
      </c>
    </row>
    <row r="363" spans="7:10">
      <c r="G363" s="7" t="s">
        <v>856</v>
      </c>
      <c r="I363" s="7"/>
      <c r="J363" t="s">
        <v>669</v>
      </c>
    </row>
    <row r="364" spans="7:10">
      <c r="G364" s="7" t="s">
        <v>857</v>
      </c>
      <c r="I364" s="7"/>
      <c r="J364" t="s">
        <v>669</v>
      </c>
    </row>
    <row r="365" spans="7:10">
      <c r="G365" s="7" t="s">
        <v>858</v>
      </c>
      <c r="I365" s="7"/>
      <c r="J365" t="s">
        <v>669</v>
      </c>
    </row>
    <row r="366" spans="7:10">
      <c r="G366" s="7" t="s">
        <v>162</v>
      </c>
      <c r="I366" s="7"/>
      <c r="J366" t="s">
        <v>669</v>
      </c>
    </row>
    <row r="367" spans="7:10">
      <c r="G367" s="7" t="s">
        <v>859</v>
      </c>
      <c r="I367" s="7"/>
      <c r="J367" t="s">
        <v>669</v>
      </c>
    </row>
    <row r="368" spans="7:10">
      <c r="G368" s="7" t="s">
        <v>860</v>
      </c>
      <c r="I368" s="7"/>
      <c r="J368" t="s">
        <v>669</v>
      </c>
    </row>
    <row r="369" spans="7:10">
      <c r="G369" s="7" t="s">
        <v>274</v>
      </c>
      <c r="I369" s="7"/>
      <c r="J369" t="s">
        <v>669</v>
      </c>
    </row>
    <row r="370" spans="7:10">
      <c r="G370" s="7" t="s">
        <v>861</v>
      </c>
      <c r="I370" s="7"/>
      <c r="J370" t="s">
        <v>669</v>
      </c>
    </row>
    <row r="371" spans="7:10">
      <c r="G371" s="7" t="s">
        <v>862</v>
      </c>
      <c r="I371" s="7"/>
      <c r="J371" t="s">
        <v>669</v>
      </c>
    </row>
    <row r="372" spans="7:10">
      <c r="G372" s="7" t="s">
        <v>275</v>
      </c>
      <c r="I372" s="7"/>
      <c r="J372" t="s">
        <v>669</v>
      </c>
    </row>
    <row r="373" spans="7:10">
      <c r="G373" s="7" t="s">
        <v>276</v>
      </c>
      <c r="I373" s="7"/>
      <c r="J373" t="s">
        <v>669</v>
      </c>
    </row>
    <row r="374" spans="7:10">
      <c r="G374" s="7" t="s">
        <v>863</v>
      </c>
      <c r="I374" s="7"/>
      <c r="J374" t="s">
        <v>669</v>
      </c>
    </row>
    <row r="375" spans="7:10">
      <c r="G375" s="7" t="s">
        <v>864</v>
      </c>
      <c r="I375" s="7"/>
      <c r="J375" t="s">
        <v>669</v>
      </c>
    </row>
    <row r="376" spans="7:10">
      <c r="G376" s="7" t="s">
        <v>865</v>
      </c>
      <c r="I376" s="7"/>
      <c r="J376" t="s">
        <v>669</v>
      </c>
    </row>
    <row r="377" spans="7:10">
      <c r="G377" s="7" t="s">
        <v>277</v>
      </c>
      <c r="I377" s="7"/>
      <c r="J377" t="s">
        <v>669</v>
      </c>
    </row>
    <row r="378" spans="7:10">
      <c r="G378" s="7" t="s">
        <v>866</v>
      </c>
      <c r="I378" s="7"/>
      <c r="J378" t="s">
        <v>669</v>
      </c>
    </row>
    <row r="379" spans="7:10">
      <c r="G379" s="7" t="s">
        <v>867</v>
      </c>
      <c r="I379" s="7"/>
      <c r="J379" t="s">
        <v>669</v>
      </c>
    </row>
    <row r="380" spans="7:10">
      <c r="G380" s="7" t="s">
        <v>868</v>
      </c>
      <c r="I380" s="7"/>
      <c r="J380" t="s">
        <v>669</v>
      </c>
    </row>
    <row r="381" spans="7:10">
      <c r="G381" s="7" t="s">
        <v>869</v>
      </c>
      <c r="I381" s="7"/>
      <c r="J381" t="s">
        <v>669</v>
      </c>
    </row>
    <row r="382" spans="7:10">
      <c r="G382" s="7" t="s">
        <v>870</v>
      </c>
      <c r="I382" s="7"/>
      <c r="J382" t="s">
        <v>669</v>
      </c>
    </row>
    <row r="383" spans="7:10">
      <c r="G383" s="7" t="s">
        <v>871</v>
      </c>
      <c r="I383" s="7"/>
      <c r="J383" t="s">
        <v>669</v>
      </c>
    </row>
    <row r="384" spans="7:10">
      <c r="G384" s="7" t="s">
        <v>872</v>
      </c>
      <c r="I384" s="7"/>
      <c r="J384" t="s">
        <v>669</v>
      </c>
    </row>
    <row r="385" spans="7:10">
      <c r="G385" s="7" t="s">
        <v>873</v>
      </c>
      <c r="I385" s="7"/>
      <c r="J385" t="s">
        <v>669</v>
      </c>
    </row>
    <row r="386" spans="7:10">
      <c r="G386" s="7" t="s">
        <v>278</v>
      </c>
      <c r="I386" s="7"/>
      <c r="J386" t="s">
        <v>669</v>
      </c>
    </row>
    <row r="387" spans="7:10">
      <c r="G387" s="7" t="s">
        <v>874</v>
      </c>
      <c r="I387" s="7"/>
      <c r="J387" t="s">
        <v>669</v>
      </c>
    </row>
    <row r="388" spans="7:10">
      <c r="G388" s="7" t="s">
        <v>875</v>
      </c>
      <c r="I388" s="7"/>
      <c r="J388" t="s">
        <v>669</v>
      </c>
    </row>
    <row r="389" spans="7:10">
      <c r="G389" s="7" t="s">
        <v>876</v>
      </c>
      <c r="I389" s="7"/>
      <c r="J389" t="s">
        <v>669</v>
      </c>
    </row>
    <row r="390" spans="7:10">
      <c r="G390" s="7" t="s">
        <v>877</v>
      </c>
      <c r="I390" s="7"/>
      <c r="J390" t="s">
        <v>669</v>
      </c>
    </row>
    <row r="391" spans="7:10">
      <c r="G391" s="7" t="s">
        <v>878</v>
      </c>
      <c r="I391" s="7"/>
      <c r="J391" t="s">
        <v>669</v>
      </c>
    </row>
    <row r="392" spans="7:10">
      <c r="G392" s="7" t="s">
        <v>879</v>
      </c>
      <c r="I392" s="7"/>
      <c r="J392" t="s">
        <v>669</v>
      </c>
    </row>
    <row r="393" spans="7:10">
      <c r="G393" s="7" t="s">
        <v>880</v>
      </c>
      <c r="I393" s="7"/>
    </row>
    <row r="394" spans="7:10">
      <c r="G394" s="7" t="s">
        <v>881</v>
      </c>
    </row>
    <row r="395" spans="7:10">
      <c r="G395" s="7" t="s">
        <v>280</v>
      </c>
    </row>
    <row r="396" spans="7:10">
      <c r="G396" s="7" t="s">
        <v>882</v>
      </c>
    </row>
    <row r="397" spans="7:10">
      <c r="G397" s="7" t="s">
        <v>883</v>
      </c>
    </row>
    <row r="398" spans="7:10">
      <c r="G398" s="7" t="s">
        <v>884</v>
      </c>
    </row>
    <row r="399" spans="7:10">
      <c r="G399" s="7" t="s">
        <v>281</v>
      </c>
    </row>
    <row r="400" spans="7:10">
      <c r="G400" s="7" t="s">
        <v>282</v>
      </c>
    </row>
    <row r="401" spans="7:7">
      <c r="G401" s="7" t="s">
        <v>885</v>
      </c>
    </row>
    <row r="402" spans="7:7">
      <c r="G402" s="7" t="s">
        <v>886</v>
      </c>
    </row>
    <row r="403" spans="7:7">
      <c r="G403" s="7" t="s">
        <v>887</v>
      </c>
    </row>
    <row r="404" spans="7:7">
      <c r="G404" s="7" t="s">
        <v>888</v>
      </c>
    </row>
    <row r="405" spans="7:7">
      <c r="G405" s="7" t="s">
        <v>889</v>
      </c>
    </row>
    <row r="406" spans="7:7">
      <c r="G406" s="7" t="s">
        <v>890</v>
      </c>
    </row>
    <row r="407" spans="7:7">
      <c r="G407" s="7" t="s">
        <v>891</v>
      </c>
    </row>
    <row r="408" spans="7:7">
      <c r="G408" s="7" t="s">
        <v>892</v>
      </c>
    </row>
    <row r="409" spans="7:7">
      <c r="G409" s="7" t="s">
        <v>893</v>
      </c>
    </row>
    <row r="410" spans="7:7">
      <c r="G410" s="7" t="s">
        <v>894</v>
      </c>
    </row>
    <row r="411" spans="7:7">
      <c r="G411" s="7" t="s">
        <v>895</v>
      </c>
    </row>
    <row r="412" spans="7:7">
      <c r="G412" s="7" t="s">
        <v>896</v>
      </c>
    </row>
    <row r="413" spans="7:7">
      <c r="G413" s="7" t="s">
        <v>897</v>
      </c>
    </row>
    <row r="414" spans="7:7">
      <c r="G414" s="7" t="s">
        <v>898</v>
      </c>
    </row>
    <row r="415" spans="7:7">
      <c r="G415" s="7" t="s">
        <v>283</v>
      </c>
    </row>
    <row r="416" spans="7:7">
      <c r="G416" s="7" t="s">
        <v>899</v>
      </c>
    </row>
    <row r="417" spans="7:7">
      <c r="G417" s="7" t="s">
        <v>900</v>
      </c>
    </row>
    <row r="418" spans="7:7">
      <c r="G418" s="7" t="s">
        <v>901</v>
      </c>
    </row>
    <row r="419" spans="7:7">
      <c r="G419" s="7" t="s">
        <v>902</v>
      </c>
    </row>
    <row r="420" spans="7:7">
      <c r="G420" s="7" t="s">
        <v>284</v>
      </c>
    </row>
    <row r="421" spans="7:7">
      <c r="G421" s="7" t="s">
        <v>285</v>
      </c>
    </row>
    <row r="422" spans="7:7">
      <c r="G422" s="7" t="s">
        <v>286</v>
      </c>
    </row>
    <row r="423" spans="7:7">
      <c r="G423" s="7" t="s">
        <v>903</v>
      </c>
    </row>
    <row r="424" spans="7:7">
      <c r="G424" s="7" t="s">
        <v>287</v>
      </c>
    </row>
    <row r="425" spans="7:7">
      <c r="G425" s="7" t="s">
        <v>288</v>
      </c>
    </row>
    <row r="426" spans="7:7">
      <c r="G426" s="7" t="s">
        <v>904</v>
      </c>
    </row>
    <row r="427" spans="7:7">
      <c r="G427" s="7" t="s">
        <v>289</v>
      </c>
    </row>
    <row r="428" spans="7:7">
      <c r="G428" s="7" t="s">
        <v>290</v>
      </c>
    </row>
    <row r="429" spans="7:7">
      <c r="G429" s="7" t="s">
        <v>905</v>
      </c>
    </row>
    <row r="430" spans="7:7">
      <c r="G430" s="7" t="s">
        <v>291</v>
      </c>
    </row>
    <row r="431" spans="7:7">
      <c r="G431" s="7" t="s">
        <v>906</v>
      </c>
    </row>
    <row r="432" spans="7:7">
      <c r="G432" s="7" t="s">
        <v>907</v>
      </c>
    </row>
    <row r="433" spans="7:7">
      <c r="G433" s="7" t="s">
        <v>292</v>
      </c>
    </row>
    <row r="434" spans="7:7">
      <c r="G434" s="7" t="s">
        <v>293</v>
      </c>
    </row>
    <row r="435" spans="7:7">
      <c r="G435" s="7" t="s">
        <v>908</v>
      </c>
    </row>
    <row r="436" spans="7:7">
      <c r="G436" s="7" t="s">
        <v>909</v>
      </c>
    </row>
    <row r="437" spans="7:7">
      <c r="G437" s="7" t="s">
        <v>910</v>
      </c>
    </row>
    <row r="438" spans="7:7">
      <c r="G438" s="7" t="s">
        <v>911</v>
      </c>
    </row>
    <row r="439" spans="7:7">
      <c r="G439" s="7" t="s">
        <v>912</v>
      </c>
    </row>
    <row r="440" spans="7:7">
      <c r="G440" s="7" t="s">
        <v>913</v>
      </c>
    </row>
    <row r="441" spans="7:7">
      <c r="G441" s="7" t="s">
        <v>914</v>
      </c>
    </row>
    <row r="442" spans="7:7">
      <c r="G442" s="7" t="s">
        <v>915</v>
      </c>
    </row>
    <row r="443" spans="7:7">
      <c r="G443" s="7" t="s">
        <v>294</v>
      </c>
    </row>
    <row r="444" spans="7:7">
      <c r="G444" s="7" t="s">
        <v>916</v>
      </c>
    </row>
    <row r="445" spans="7:7">
      <c r="G445" s="7" t="s">
        <v>295</v>
      </c>
    </row>
    <row r="446" spans="7:7">
      <c r="G446" s="7" t="s">
        <v>917</v>
      </c>
    </row>
    <row r="447" spans="7:7">
      <c r="G447" s="7" t="s">
        <v>296</v>
      </c>
    </row>
    <row r="448" spans="7:7">
      <c r="G448" s="7" t="s">
        <v>297</v>
      </c>
    </row>
    <row r="449" spans="7:7">
      <c r="G449" s="7" t="s">
        <v>918</v>
      </c>
    </row>
    <row r="450" spans="7:7">
      <c r="G450" s="7" t="s">
        <v>919</v>
      </c>
    </row>
    <row r="451" spans="7:7">
      <c r="G451" s="7" t="s">
        <v>298</v>
      </c>
    </row>
    <row r="452" spans="7:7">
      <c r="G452" s="7" t="s">
        <v>920</v>
      </c>
    </row>
    <row r="453" spans="7:7">
      <c r="G453" s="7" t="s">
        <v>547</v>
      </c>
    </row>
    <row r="454" spans="7:7">
      <c r="G454" s="7" t="s">
        <v>299</v>
      </c>
    </row>
    <row r="455" spans="7:7">
      <c r="G455" s="7" t="s">
        <v>300</v>
      </c>
    </row>
    <row r="456" spans="7:7">
      <c r="G456" s="7" t="s">
        <v>301</v>
      </c>
    </row>
    <row r="457" spans="7:7">
      <c r="G457" s="7" t="s">
        <v>921</v>
      </c>
    </row>
    <row r="458" spans="7:7">
      <c r="G458" s="7" t="s">
        <v>922</v>
      </c>
    </row>
    <row r="459" spans="7:7">
      <c r="G459" s="7" t="s">
        <v>302</v>
      </c>
    </row>
    <row r="460" spans="7:7">
      <c r="G460" s="7" t="s">
        <v>923</v>
      </c>
    </row>
    <row r="461" spans="7:7">
      <c r="G461" s="7" t="s">
        <v>924</v>
      </c>
    </row>
    <row r="462" spans="7:7">
      <c r="G462" s="7" t="s">
        <v>925</v>
      </c>
    </row>
    <row r="463" spans="7:7">
      <c r="G463" s="7" t="s">
        <v>303</v>
      </c>
    </row>
    <row r="464" spans="7:7">
      <c r="G464" s="7" t="s">
        <v>926</v>
      </c>
    </row>
    <row r="465" spans="7:7">
      <c r="G465" s="7" t="s">
        <v>927</v>
      </c>
    </row>
    <row r="466" spans="7:7">
      <c r="G466" s="7" t="s">
        <v>928</v>
      </c>
    </row>
    <row r="467" spans="7:7">
      <c r="G467" s="7" t="s">
        <v>929</v>
      </c>
    </row>
    <row r="468" spans="7:7">
      <c r="G468" s="7" t="s">
        <v>930</v>
      </c>
    </row>
    <row r="469" spans="7:7">
      <c r="G469" s="7" t="s">
        <v>931</v>
      </c>
    </row>
    <row r="470" spans="7:7">
      <c r="G470" s="7" t="s">
        <v>304</v>
      </c>
    </row>
    <row r="471" spans="7:7">
      <c r="G471" s="7" t="s">
        <v>305</v>
      </c>
    </row>
    <row r="472" spans="7:7">
      <c r="G472" s="7" t="s">
        <v>932</v>
      </c>
    </row>
    <row r="473" spans="7:7">
      <c r="G473" s="7" t="s">
        <v>933</v>
      </c>
    </row>
    <row r="474" spans="7:7">
      <c r="G474" s="7" t="s">
        <v>934</v>
      </c>
    </row>
    <row r="475" spans="7:7">
      <c r="G475" s="7" t="s">
        <v>935</v>
      </c>
    </row>
    <row r="476" spans="7:7">
      <c r="G476" s="7" t="s">
        <v>936</v>
      </c>
    </row>
    <row r="477" spans="7:7">
      <c r="G477" s="7" t="s">
        <v>937</v>
      </c>
    </row>
    <row r="478" spans="7:7">
      <c r="G478" s="7" t="s">
        <v>306</v>
      </c>
    </row>
    <row r="479" spans="7:7">
      <c r="G479" s="7" t="s">
        <v>938</v>
      </c>
    </row>
    <row r="480" spans="7:7">
      <c r="G480" s="7" t="s">
        <v>939</v>
      </c>
    </row>
    <row r="481" spans="7:7">
      <c r="G481" s="7" t="s">
        <v>940</v>
      </c>
    </row>
    <row r="482" spans="7:7">
      <c r="G482" s="7" t="s">
        <v>941</v>
      </c>
    </row>
    <row r="483" spans="7:7">
      <c r="G483" s="7" t="s">
        <v>942</v>
      </c>
    </row>
    <row r="484" spans="7:7">
      <c r="G484" s="7" t="s">
        <v>943</v>
      </c>
    </row>
    <row r="485" spans="7:7">
      <c r="G485" s="7" t="s">
        <v>944</v>
      </c>
    </row>
    <row r="486" spans="7:7">
      <c r="G486" s="7" t="s">
        <v>307</v>
      </c>
    </row>
    <row r="487" spans="7:7">
      <c r="G487" s="7" t="s">
        <v>945</v>
      </c>
    </row>
    <row r="488" spans="7:7">
      <c r="G488" s="7" t="s">
        <v>946</v>
      </c>
    </row>
    <row r="489" spans="7:7">
      <c r="G489" s="7" t="s">
        <v>308</v>
      </c>
    </row>
    <row r="490" spans="7:7">
      <c r="G490" s="7" t="s">
        <v>309</v>
      </c>
    </row>
    <row r="491" spans="7:7">
      <c r="G491" s="7" t="s">
        <v>310</v>
      </c>
    </row>
    <row r="492" spans="7:7">
      <c r="G492" s="7" t="s">
        <v>311</v>
      </c>
    </row>
    <row r="493" spans="7:7">
      <c r="G493" s="7" t="s">
        <v>947</v>
      </c>
    </row>
    <row r="494" spans="7:7">
      <c r="G494" s="7" t="s">
        <v>312</v>
      </c>
    </row>
    <row r="495" spans="7:7">
      <c r="G495" s="7" t="s">
        <v>948</v>
      </c>
    </row>
    <row r="496" spans="7:7">
      <c r="G496" s="7" t="s">
        <v>949</v>
      </c>
    </row>
    <row r="497" spans="7:7">
      <c r="G497" s="7" t="s">
        <v>950</v>
      </c>
    </row>
    <row r="498" spans="7:7">
      <c r="G498" s="7" t="s">
        <v>951</v>
      </c>
    </row>
    <row r="499" spans="7:7">
      <c r="G499" s="7" t="s">
        <v>952</v>
      </c>
    </row>
    <row r="500" spans="7:7">
      <c r="G500" s="7" t="s">
        <v>953</v>
      </c>
    </row>
    <row r="501" spans="7:7">
      <c r="G501" s="7" t="s">
        <v>954</v>
      </c>
    </row>
    <row r="502" spans="7:7">
      <c r="G502" s="7" t="s">
        <v>955</v>
      </c>
    </row>
    <row r="503" spans="7:7">
      <c r="G503" s="7" t="s">
        <v>313</v>
      </c>
    </row>
    <row r="504" spans="7:7">
      <c r="G504" s="7" t="s">
        <v>314</v>
      </c>
    </row>
    <row r="505" spans="7:7">
      <c r="G505" s="7" t="s">
        <v>956</v>
      </c>
    </row>
    <row r="506" spans="7:7">
      <c r="G506" s="7" t="s">
        <v>315</v>
      </c>
    </row>
    <row r="507" spans="7:7">
      <c r="G507" s="7" t="s">
        <v>957</v>
      </c>
    </row>
    <row r="508" spans="7:7">
      <c r="G508" s="7" t="s">
        <v>958</v>
      </c>
    </row>
    <row r="509" spans="7:7">
      <c r="G509" s="7" t="s">
        <v>959</v>
      </c>
    </row>
    <row r="510" spans="7:7">
      <c r="G510" s="7" t="s">
        <v>960</v>
      </c>
    </row>
    <row r="511" spans="7:7">
      <c r="G511" s="7" t="s">
        <v>316</v>
      </c>
    </row>
    <row r="512" spans="7:7">
      <c r="G512" s="7" t="s">
        <v>317</v>
      </c>
    </row>
    <row r="513" spans="7:7">
      <c r="G513" s="7" t="s">
        <v>961</v>
      </c>
    </row>
    <row r="514" spans="7:7">
      <c r="G514" s="7" t="s">
        <v>962</v>
      </c>
    </row>
    <row r="515" spans="7:7">
      <c r="G515" s="7" t="s">
        <v>318</v>
      </c>
    </row>
    <row r="516" spans="7:7">
      <c r="G516" s="7" t="s">
        <v>319</v>
      </c>
    </row>
    <row r="517" spans="7:7">
      <c r="G517" s="7" t="s">
        <v>963</v>
      </c>
    </row>
    <row r="518" spans="7:7">
      <c r="G518" s="7" t="s">
        <v>964</v>
      </c>
    </row>
    <row r="519" spans="7:7">
      <c r="G519" s="7" t="s">
        <v>321</v>
      </c>
    </row>
    <row r="520" spans="7:7">
      <c r="G520" s="7" t="s">
        <v>965</v>
      </c>
    </row>
    <row r="521" spans="7:7">
      <c r="G521" s="7" t="s">
        <v>966</v>
      </c>
    </row>
    <row r="522" spans="7:7">
      <c r="G522" s="7" t="s">
        <v>967</v>
      </c>
    </row>
    <row r="523" spans="7:7">
      <c r="G523" s="7" t="s">
        <v>968</v>
      </c>
    </row>
    <row r="524" spans="7:7">
      <c r="G524" s="7" t="s">
        <v>969</v>
      </c>
    </row>
    <row r="525" spans="7:7">
      <c r="G525" s="7" t="s">
        <v>970</v>
      </c>
    </row>
    <row r="526" spans="7:7">
      <c r="G526" s="7" t="s">
        <v>971</v>
      </c>
    </row>
    <row r="527" spans="7:7">
      <c r="G527" s="7" t="s">
        <v>322</v>
      </c>
    </row>
    <row r="528" spans="7:7">
      <c r="G528" s="7" t="s">
        <v>972</v>
      </c>
    </row>
    <row r="529" spans="7:7">
      <c r="G529" s="7" t="s">
        <v>973</v>
      </c>
    </row>
    <row r="530" spans="7:7">
      <c r="G530" s="7" t="s">
        <v>974</v>
      </c>
    </row>
    <row r="531" spans="7:7">
      <c r="G531" s="7" t="s">
        <v>975</v>
      </c>
    </row>
    <row r="532" spans="7:7">
      <c r="G532" s="7" t="s">
        <v>323</v>
      </c>
    </row>
    <row r="533" spans="7:7">
      <c r="G533" s="7" t="s">
        <v>976</v>
      </c>
    </row>
    <row r="534" spans="7:7">
      <c r="G534" s="7" t="s">
        <v>324</v>
      </c>
    </row>
    <row r="535" spans="7:7">
      <c r="G535" s="7" t="s">
        <v>977</v>
      </c>
    </row>
    <row r="536" spans="7:7">
      <c r="G536" s="7" t="s">
        <v>325</v>
      </c>
    </row>
    <row r="537" spans="7:7">
      <c r="G537" s="7" t="s">
        <v>326</v>
      </c>
    </row>
    <row r="538" spans="7:7">
      <c r="G538" s="7" t="s">
        <v>978</v>
      </c>
    </row>
    <row r="539" spans="7:7">
      <c r="G539" s="7" t="s">
        <v>327</v>
      </c>
    </row>
    <row r="540" spans="7:7">
      <c r="G540" s="7" t="s">
        <v>979</v>
      </c>
    </row>
    <row r="541" spans="7:7">
      <c r="G541" s="7" t="s">
        <v>328</v>
      </c>
    </row>
    <row r="542" spans="7:7">
      <c r="G542" s="7" t="s">
        <v>980</v>
      </c>
    </row>
    <row r="543" spans="7:7">
      <c r="G543" s="7" t="s">
        <v>329</v>
      </c>
    </row>
    <row r="544" spans="7:7">
      <c r="G544" s="7" t="s">
        <v>981</v>
      </c>
    </row>
    <row r="545" spans="7:7">
      <c r="G545" s="7" t="s">
        <v>982</v>
      </c>
    </row>
    <row r="546" spans="7:7">
      <c r="G546" s="7" t="s">
        <v>331</v>
      </c>
    </row>
    <row r="547" spans="7:7">
      <c r="G547" s="7" t="s">
        <v>983</v>
      </c>
    </row>
    <row r="548" spans="7:7">
      <c r="G548" s="7" t="s">
        <v>984</v>
      </c>
    </row>
    <row r="549" spans="7:7">
      <c r="G549" s="7" t="s">
        <v>985</v>
      </c>
    </row>
    <row r="550" spans="7:7">
      <c r="G550" s="7" t="s">
        <v>986</v>
      </c>
    </row>
    <row r="551" spans="7:7">
      <c r="G551" s="7" t="s">
        <v>332</v>
      </c>
    </row>
    <row r="552" spans="7:7">
      <c r="G552" s="7" t="s">
        <v>987</v>
      </c>
    </row>
    <row r="553" spans="7:7">
      <c r="G553" s="7" t="s">
        <v>333</v>
      </c>
    </row>
    <row r="554" spans="7:7">
      <c r="G554" s="7" t="s">
        <v>988</v>
      </c>
    </row>
    <row r="555" spans="7:7">
      <c r="G555" s="7" t="s">
        <v>989</v>
      </c>
    </row>
    <row r="556" spans="7:7">
      <c r="G556" s="7" t="s">
        <v>990</v>
      </c>
    </row>
    <row r="557" spans="7:7">
      <c r="G557" s="7" t="s">
        <v>991</v>
      </c>
    </row>
    <row r="558" spans="7:7">
      <c r="G558" s="7" t="s">
        <v>992</v>
      </c>
    </row>
    <row r="559" spans="7:7">
      <c r="G559" s="7" t="s">
        <v>993</v>
      </c>
    </row>
    <row r="560" spans="7:7">
      <c r="G560" s="7" t="s">
        <v>994</v>
      </c>
    </row>
    <row r="561" spans="7:7">
      <c r="G561" s="7" t="s">
        <v>334</v>
      </c>
    </row>
    <row r="562" spans="7:7">
      <c r="G562" s="7" t="s">
        <v>335</v>
      </c>
    </row>
    <row r="563" spans="7:7">
      <c r="G563" s="7" t="s">
        <v>995</v>
      </c>
    </row>
    <row r="564" spans="7:7">
      <c r="G564" s="7" t="s">
        <v>336</v>
      </c>
    </row>
    <row r="565" spans="7:7">
      <c r="G565" s="7" t="s">
        <v>996</v>
      </c>
    </row>
    <row r="566" spans="7:7">
      <c r="G566" s="7" t="s">
        <v>997</v>
      </c>
    </row>
    <row r="567" spans="7:7">
      <c r="G567" s="7" t="s">
        <v>998</v>
      </c>
    </row>
    <row r="568" spans="7:7">
      <c r="G568" s="7" t="s">
        <v>999</v>
      </c>
    </row>
    <row r="569" spans="7:7">
      <c r="G569" s="7" t="s">
        <v>1000</v>
      </c>
    </row>
    <row r="570" spans="7:7">
      <c r="G570" s="7" t="s">
        <v>1001</v>
      </c>
    </row>
    <row r="571" spans="7:7">
      <c r="G571" s="7" t="s">
        <v>1002</v>
      </c>
    </row>
    <row r="572" spans="7:7">
      <c r="G572" s="7" t="s">
        <v>1003</v>
      </c>
    </row>
    <row r="573" spans="7:7">
      <c r="G573" s="7" t="s">
        <v>1004</v>
      </c>
    </row>
    <row r="574" spans="7:7">
      <c r="G574" s="7" t="s">
        <v>1005</v>
      </c>
    </row>
    <row r="575" spans="7:7">
      <c r="G575" s="7" t="s">
        <v>1006</v>
      </c>
    </row>
    <row r="576" spans="7:7">
      <c r="G576" s="7" t="s">
        <v>1007</v>
      </c>
    </row>
    <row r="577" spans="7:7">
      <c r="G577" s="7" t="s">
        <v>1008</v>
      </c>
    </row>
    <row r="578" spans="7:7">
      <c r="G578" s="7" t="s">
        <v>1009</v>
      </c>
    </row>
    <row r="579" spans="7:7">
      <c r="G579" s="7" t="s">
        <v>1010</v>
      </c>
    </row>
    <row r="580" spans="7:7">
      <c r="G580" s="7" t="s">
        <v>1011</v>
      </c>
    </row>
    <row r="581" spans="7:7">
      <c r="G581" s="7" t="s">
        <v>1012</v>
      </c>
    </row>
    <row r="582" spans="7:7">
      <c r="G582" s="7" t="s">
        <v>1013</v>
      </c>
    </row>
    <row r="583" spans="7:7">
      <c r="G583" s="7" t="s">
        <v>1014</v>
      </c>
    </row>
    <row r="584" spans="7:7">
      <c r="G584" s="7" t="s">
        <v>1015</v>
      </c>
    </row>
    <row r="585" spans="7:7">
      <c r="G585" s="7" t="s">
        <v>1016</v>
      </c>
    </row>
    <row r="586" spans="7:7">
      <c r="G586" s="7" t="s">
        <v>1017</v>
      </c>
    </row>
    <row r="587" spans="7:7">
      <c r="G587" s="7" t="s">
        <v>1018</v>
      </c>
    </row>
    <row r="588" spans="7:7">
      <c r="G588" s="7" t="s">
        <v>1019</v>
      </c>
    </row>
    <row r="589" spans="7:7">
      <c r="G589" s="7" t="s">
        <v>1020</v>
      </c>
    </row>
    <row r="590" spans="7:7">
      <c r="G590" s="7" t="s">
        <v>1021</v>
      </c>
    </row>
    <row r="591" spans="7:7">
      <c r="G591" s="7" t="s">
        <v>1022</v>
      </c>
    </row>
    <row r="592" spans="7:7">
      <c r="G592" s="7" t="s">
        <v>701</v>
      </c>
    </row>
    <row r="593" spans="7:7">
      <c r="G593" s="7" t="s">
        <v>337</v>
      </c>
    </row>
    <row r="594" spans="7:7">
      <c r="G594" s="7" t="s">
        <v>338</v>
      </c>
    </row>
    <row r="595" spans="7:7">
      <c r="G595" s="7" t="s">
        <v>339</v>
      </c>
    </row>
    <row r="596" spans="7:7">
      <c r="G596" s="7" t="s">
        <v>340</v>
      </c>
    </row>
    <row r="597" spans="7:7">
      <c r="G597" s="7" t="s">
        <v>1023</v>
      </c>
    </row>
    <row r="598" spans="7:7">
      <c r="G598" s="7" t="s">
        <v>341</v>
      </c>
    </row>
    <row r="599" spans="7:7">
      <c r="G599" s="7" t="s">
        <v>1024</v>
      </c>
    </row>
    <row r="600" spans="7:7">
      <c r="G600" s="7" t="s">
        <v>1025</v>
      </c>
    </row>
    <row r="601" spans="7:7">
      <c r="G601" s="7" t="s">
        <v>342</v>
      </c>
    </row>
    <row r="602" spans="7:7">
      <c r="G602" s="7" t="s">
        <v>343</v>
      </c>
    </row>
    <row r="603" spans="7:7">
      <c r="G603" s="7" t="s">
        <v>179</v>
      </c>
    </row>
    <row r="604" spans="7:7">
      <c r="G604" s="7" t="s">
        <v>1026</v>
      </c>
    </row>
    <row r="605" spans="7:7">
      <c r="G605" s="7" t="s">
        <v>1027</v>
      </c>
    </row>
    <row r="606" spans="7:7">
      <c r="G606" s="7" t="s">
        <v>344</v>
      </c>
    </row>
    <row r="607" spans="7:7">
      <c r="G607" s="7" t="s">
        <v>1028</v>
      </c>
    </row>
    <row r="608" spans="7:7">
      <c r="G608" s="7" t="s">
        <v>345</v>
      </c>
    </row>
    <row r="609" spans="7:7">
      <c r="G609" s="7" t="s">
        <v>346</v>
      </c>
    </row>
    <row r="610" spans="7:7">
      <c r="G610" s="7" t="s">
        <v>1029</v>
      </c>
    </row>
    <row r="611" spans="7:7">
      <c r="G611" s="7" t="s">
        <v>1030</v>
      </c>
    </row>
    <row r="612" spans="7:7">
      <c r="G612" s="7" t="s">
        <v>1031</v>
      </c>
    </row>
    <row r="613" spans="7:7">
      <c r="G613" s="7" t="s">
        <v>1032</v>
      </c>
    </row>
    <row r="614" spans="7:7">
      <c r="G614" s="7" t="s">
        <v>1033</v>
      </c>
    </row>
    <row r="615" spans="7:7">
      <c r="G615" s="7" t="s">
        <v>1034</v>
      </c>
    </row>
    <row r="616" spans="7:7">
      <c r="G616" s="7" t="s">
        <v>1035</v>
      </c>
    </row>
    <row r="617" spans="7:7">
      <c r="G617" s="7" t="s">
        <v>1036</v>
      </c>
    </row>
    <row r="618" spans="7:7">
      <c r="G618" s="7" t="s">
        <v>1037</v>
      </c>
    </row>
    <row r="619" spans="7:7">
      <c r="G619" s="7" t="s">
        <v>348</v>
      </c>
    </row>
    <row r="620" spans="7:7">
      <c r="G620" s="7" t="s">
        <v>1038</v>
      </c>
    </row>
    <row r="621" spans="7:7">
      <c r="G621" s="7" t="s">
        <v>349</v>
      </c>
    </row>
    <row r="622" spans="7:7">
      <c r="G622" s="7" t="s">
        <v>350</v>
      </c>
    </row>
    <row r="623" spans="7:7">
      <c r="G623" s="7" t="s">
        <v>1039</v>
      </c>
    </row>
    <row r="624" spans="7:7">
      <c r="G624" s="7" t="s">
        <v>1040</v>
      </c>
    </row>
    <row r="625" spans="7:7">
      <c r="G625" s="7" t="s">
        <v>1041</v>
      </c>
    </row>
    <row r="626" spans="7:7">
      <c r="G626" s="7" t="s">
        <v>1042</v>
      </c>
    </row>
    <row r="627" spans="7:7">
      <c r="G627" s="7" t="s">
        <v>1043</v>
      </c>
    </row>
    <row r="628" spans="7:7">
      <c r="G628" s="7" t="s">
        <v>1044</v>
      </c>
    </row>
    <row r="629" spans="7:7">
      <c r="G629" s="7" t="s">
        <v>351</v>
      </c>
    </row>
    <row r="630" spans="7:7">
      <c r="G630" s="7" t="s">
        <v>352</v>
      </c>
    </row>
    <row r="631" spans="7:7">
      <c r="G631" s="7" t="s">
        <v>1045</v>
      </c>
    </row>
    <row r="632" spans="7:7">
      <c r="G632" s="7" t="s">
        <v>1046</v>
      </c>
    </row>
    <row r="633" spans="7:7">
      <c r="G633" s="7" t="s">
        <v>1047</v>
      </c>
    </row>
    <row r="634" spans="7:7">
      <c r="G634" s="7" t="s">
        <v>1048</v>
      </c>
    </row>
    <row r="635" spans="7:7">
      <c r="G635" s="7" t="s">
        <v>1049</v>
      </c>
    </row>
    <row r="636" spans="7:7">
      <c r="G636" s="7" t="s">
        <v>1050</v>
      </c>
    </row>
    <row r="637" spans="7:7">
      <c r="G637" s="7" t="s">
        <v>1051</v>
      </c>
    </row>
    <row r="638" spans="7:7">
      <c r="G638" s="7" t="s">
        <v>353</v>
      </c>
    </row>
    <row r="639" spans="7:7">
      <c r="G639" s="7" t="s">
        <v>1052</v>
      </c>
    </row>
    <row r="640" spans="7:7">
      <c r="G640" s="7" t="s">
        <v>1053</v>
      </c>
    </row>
    <row r="641" spans="7:7">
      <c r="G641" s="7" t="s">
        <v>1054</v>
      </c>
    </row>
    <row r="642" spans="7:7">
      <c r="G642" s="7" t="s">
        <v>1055</v>
      </c>
    </row>
    <row r="643" spans="7:7">
      <c r="G643" s="7" t="s">
        <v>354</v>
      </c>
    </row>
    <row r="644" spans="7:7">
      <c r="G644" s="7" t="s">
        <v>1056</v>
      </c>
    </row>
    <row r="645" spans="7:7">
      <c r="G645" s="7" t="s">
        <v>1057</v>
      </c>
    </row>
    <row r="646" spans="7:7">
      <c r="G646" s="7" t="s">
        <v>1058</v>
      </c>
    </row>
    <row r="647" spans="7:7">
      <c r="G647" s="7" t="s">
        <v>355</v>
      </c>
    </row>
    <row r="648" spans="7:7">
      <c r="G648" s="7" t="s">
        <v>1059</v>
      </c>
    </row>
    <row r="649" spans="7:7">
      <c r="G649" s="7" t="s">
        <v>356</v>
      </c>
    </row>
    <row r="650" spans="7:7">
      <c r="G650" s="7" t="s">
        <v>357</v>
      </c>
    </row>
    <row r="651" spans="7:7">
      <c r="G651" s="7" t="s">
        <v>358</v>
      </c>
    </row>
    <row r="652" spans="7:7">
      <c r="G652" s="7" t="s">
        <v>359</v>
      </c>
    </row>
    <row r="653" spans="7:7">
      <c r="G653" s="7" t="s">
        <v>1060</v>
      </c>
    </row>
    <row r="654" spans="7:7">
      <c r="G654" s="7" t="s">
        <v>360</v>
      </c>
    </row>
    <row r="655" spans="7:7">
      <c r="G655" s="7" t="s">
        <v>361</v>
      </c>
    </row>
    <row r="656" spans="7:7">
      <c r="G656" s="7" t="s">
        <v>1061</v>
      </c>
    </row>
    <row r="657" spans="7:7">
      <c r="G657" s="7" t="s">
        <v>1062</v>
      </c>
    </row>
    <row r="658" spans="7:7">
      <c r="G658" s="7" t="s">
        <v>362</v>
      </c>
    </row>
    <row r="659" spans="7:7">
      <c r="G659" s="7" t="s">
        <v>1063</v>
      </c>
    </row>
    <row r="660" spans="7:7">
      <c r="G660" s="7" t="s">
        <v>1064</v>
      </c>
    </row>
    <row r="661" spans="7:7">
      <c r="G661" s="7" t="s">
        <v>363</v>
      </c>
    </row>
    <row r="662" spans="7:7">
      <c r="G662" s="7" t="s">
        <v>1065</v>
      </c>
    </row>
    <row r="663" spans="7:7">
      <c r="G663" s="7" t="s">
        <v>1066</v>
      </c>
    </row>
    <row r="664" spans="7:7">
      <c r="G664" s="7" t="s">
        <v>1067</v>
      </c>
    </row>
    <row r="665" spans="7:7">
      <c r="G665" s="7" t="s">
        <v>1068</v>
      </c>
    </row>
    <row r="666" spans="7:7">
      <c r="G666" s="7" t="s">
        <v>365</v>
      </c>
    </row>
    <row r="667" spans="7:7">
      <c r="G667" s="7" t="s">
        <v>366</v>
      </c>
    </row>
    <row r="668" spans="7:7">
      <c r="G668" s="7" t="s">
        <v>1069</v>
      </c>
    </row>
    <row r="669" spans="7:7">
      <c r="G669" s="7" t="s">
        <v>1070</v>
      </c>
    </row>
    <row r="670" spans="7:7">
      <c r="G670" s="7" t="s">
        <v>1071</v>
      </c>
    </row>
    <row r="671" spans="7:7">
      <c r="G671" s="7" t="s">
        <v>1072</v>
      </c>
    </row>
    <row r="672" spans="7:7">
      <c r="G672" s="7" t="s">
        <v>1073</v>
      </c>
    </row>
    <row r="673" spans="7:7">
      <c r="G673" s="7" t="s">
        <v>1074</v>
      </c>
    </row>
    <row r="674" spans="7:7">
      <c r="G674" s="7" t="s">
        <v>368</v>
      </c>
    </row>
    <row r="675" spans="7:7">
      <c r="G675" s="7" t="s">
        <v>369</v>
      </c>
    </row>
    <row r="676" spans="7:7">
      <c r="G676" s="7" t="s">
        <v>370</v>
      </c>
    </row>
    <row r="677" spans="7:7">
      <c r="G677" s="7" t="s">
        <v>1075</v>
      </c>
    </row>
    <row r="678" spans="7:7">
      <c r="G678" s="7" t="s">
        <v>1076</v>
      </c>
    </row>
    <row r="679" spans="7:7">
      <c r="G679" s="7" t="s">
        <v>1077</v>
      </c>
    </row>
    <row r="680" spans="7:7">
      <c r="G680" s="7" t="s">
        <v>1078</v>
      </c>
    </row>
    <row r="681" spans="7:7">
      <c r="G681" s="7" t="s">
        <v>1079</v>
      </c>
    </row>
    <row r="682" spans="7:7">
      <c r="G682" s="7" t="s">
        <v>1080</v>
      </c>
    </row>
    <row r="683" spans="7:7">
      <c r="G683" s="7" t="s">
        <v>1081</v>
      </c>
    </row>
    <row r="684" spans="7:7">
      <c r="G684" s="7" t="s">
        <v>371</v>
      </c>
    </row>
    <row r="685" spans="7:7">
      <c r="G685" s="7" t="s">
        <v>1082</v>
      </c>
    </row>
    <row r="686" spans="7:7">
      <c r="G686" s="7" t="s">
        <v>372</v>
      </c>
    </row>
    <row r="687" spans="7:7">
      <c r="G687" s="7" t="s">
        <v>1083</v>
      </c>
    </row>
    <row r="688" spans="7:7">
      <c r="G688" s="7" t="s">
        <v>1084</v>
      </c>
    </row>
    <row r="689" spans="7:7">
      <c r="G689" s="7" t="s">
        <v>1085</v>
      </c>
    </row>
    <row r="690" spans="7:7">
      <c r="G690" s="7" t="s">
        <v>1086</v>
      </c>
    </row>
    <row r="691" spans="7:7">
      <c r="G691" s="7" t="s">
        <v>373</v>
      </c>
    </row>
    <row r="692" spans="7:7">
      <c r="G692" s="7" t="s">
        <v>1087</v>
      </c>
    </row>
    <row r="693" spans="7:7">
      <c r="G693" s="7" t="s">
        <v>1088</v>
      </c>
    </row>
    <row r="694" spans="7:7">
      <c r="G694" s="7" t="s">
        <v>374</v>
      </c>
    </row>
    <row r="695" spans="7:7">
      <c r="G695" s="7" t="s">
        <v>375</v>
      </c>
    </row>
    <row r="696" spans="7:7">
      <c r="G696" s="7" t="s">
        <v>376</v>
      </c>
    </row>
    <row r="697" spans="7:7">
      <c r="G697" s="7" t="s">
        <v>377</v>
      </c>
    </row>
    <row r="698" spans="7:7">
      <c r="G698" s="7" t="s">
        <v>1089</v>
      </c>
    </row>
    <row r="699" spans="7:7">
      <c r="G699" s="7" t="s">
        <v>378</v>
      </c>
    </row>
    <row r="700" spans="7:7">
      <c r="G700" s="7" t="s">
        <v>379</v>
      </c>
    </row>
    <row r="701" spans="7:7">
      <c r="G701" s="7" t="s">
        <v>1090</v>
      </c>
    </row>
    <row r="702" spans="7:7">
      <c r="G702" s="7" t="s">
        <v>1091</v>
      </c>
    </row>
    <row r="703" spans="7:7">
      <c r="G703" s="7" t="s">
        <v>1092</v>
      </c>
    </row>
    <row r="704" spans="7:7">
      <c r="G704" s="7" t="s">
        <v>1093</v>
      </c>
    </row>
    <row r="705" spans="7:7">
      <c r="G705" s="7" t="s">
        <v>1094</v>
      </c>
    </row>
    <row r="706" spans="7:7">
      <c r="G706" s="7" t="s">
        <v>1095</v>
      </c>
    </row>
    <row r="707" spans="7:7">
      <c r="G707" s="7" t="s">
        <v>1096</v>
      </c>
    </row>
    <row r="708" spans="7:7">
      <c r="G708" s="7" t="s">
        <v>1097</v>
      </c>
    </row>
    <row r="709" spans="7:7">
      <c r="G709" s="7" t="s">
        <v>380</v>
      </c>
    </row>
    <row r="710" spans="7:7">
      <c r="G710" s="7" t="s">
        <v>1098</v>
      </c>
    </row>
    <row r="711" spans="7:7">
      <c r="G711" s="7" t="s">
        <v>381</v>
      </c>
    </row>
    <row r="712" spans="7:7">
      <c r="G712" s="7" t="s">
        <v>382</v>
      </c>
    </row>
    <row r="713" spans="7:7">
      <c r="G713" s="7" t="s">
        <v>383</v>
      </c>
    </row>
    <row r="714" spans="7:7">
      <c r="G714" s="7" t="s">
        <v>1099</v>
      </c>
    </row>
    <row r="715" spans="7:7">
      <c r="G715" s="7" t="s">
        <v>384</v>
      </c>
    </row>
    <row r="716" spans="7:7">
      <c r="G716" s="7" t="s">
        <v>385</v>
      </c>
    </row>
    <row r="717" spans="7:7">
      <c r="G717" s="7" t="s">
        <v>386</v>
      </c>
    </row>
    <row r="718" spans="7:7">
      <c r="G718" s="7" t="s">
        <v>387</v>
      </c>
    </row>
    <row r="719" spans="7:7">
      <c r="G719" s="7" t="s">
        <v>1100</v>
      </c>
    </row>
    <row r="720" spans="7:7">
      <c r="G720" s="7" t="s">
        <v>1101</v>
      </c>
    </row>
    <row r="721" spans="7:7">
      <c r="G721" s="7" t="s">
        <v>388</v>
      </c>
    </row>
    <row r="722" spans="7:7">
      <c r="G722" s="7" t="s">
        <v>1102</v>
      </c>
    </row>
    <row r="723" spans="7:7">
      <c r="G723" s="7" t="s">
        <v>389</v>
      </c>
    </row>
    <row r="724" spans="7:7">
      <c r="G724" s="7" t="s">
        <v>1103</v>
      </c>
    </row>
    <row r="725" spans="7:7">
      <c r="G725" s="7" t="s">
        <v>390</v>
      </c>
    </row>
    <row r="726" spans="7:7">
      <c r="G726" s="7" t="s">
        <v>1104</v>
      </c>
    </row>
    <row r="727" spans="7:7">
      <c r="G727" s="7" t="s">
        <v>1105</v>
      </c>
    </row>
    <row r="728" spans="7:7">
      <c r="G728" s="7" t="s">
        <v>1106</v>
      </c>
    </row>
    <row r="729" spans="7:7">
      <c r="G729" s="7" t="s">
        <v>391</v>
      </c>
    </row>
    <row r="730" spans="7:7">
      <c r="G730" s="7" t="s">
        <v>1107</v>
      </c>
    </row>
    <row r="731" spans="7:7">
      <c r="G731" s="7" t="s">
        <v>392</v>
      </c>
    </row>
    <row r="732" spans="7:7">
      <c r="G732" s="7" t="s">
        <v>1108</v>
      </c>
    </row>
    <row r="733" spans="7:7">
      <c r="G733" s="7" t="s">
        <v>393</v>
      </c>
    </row>
    <row r="734" spans="7:7">
      <c r="G734" s="7" t="s">
        <v>394</v>
      </c>
    </row>
    <row r="735" spans="7:7">
      <c r="G735" s="7" t="s">
        <v>395</v>
      </c>
    </row>
    <row r="736" spans="7:7">
      <c r="G736" s="7" t="s">
        <v>396</v>
      </c>
    </row>
    <row r="737" spans="7:7">
      <c r="G737" s="7" t="s">
        <v>397</v>
      </c>
    </row>
    <row r="738" spans="7:7">
      <c r="G738" s="7" t="s">
        <v>1109</v>
      </c>
    </row>
    <row r="739" spans="7:7">
      <c r="G739" s="7" t="s">
        <v>1110</v>
      </c>
    </row>
    <row r="740" spans="7:7">
      <c r="G740" s="7" t="s">
        <v>1111</v>
      </c>
    </row>
    <row r="741" spans="7:7">
      <c r="G741" s="7" t="s">
        <v>1112</v>
      </c>
    </row>
    <row r="742" spans="7:7">
      <c r="G742" s="7" t="s">
        <v>1113</v>
      </c>
    </row>
    <row r="743" spans="7:7">
      <c r="G743" s="7" t="s">
        <v>1114</v>
      </c>
    </row>
    <row r="744" spans="7:7">
      <c r="G744" s="7" t="s">
        <v>1115</v>
      </c>
    </row>
    <row r="745" spans="7:7">
      <c r="G745" s="7" t="s">
        <v>1116</v>
      </c>
    </row>
    <row r="746" spans="7:7">
      <c r="G746" s="7" t="s">
        <v>398</v>
      </c>
    </row>
    <row r="747" spans="7:7">
      <c r="G747" s="7" t="s">
        <v>399</v>
      </c>
    </row>
    <row r="748" spans="7:7">
      <c r="G748" s="7" t="s">
        <v>1117</v>
      </c>
    </row>
    <row r="749" spans="7:7">
      <c r="G749" s="7" t="s">
        <v>400</v>
      </c>
    </row>
    <row r="750" spans="7:7">
      <c r="G750" s="7" t="s">
        <v>401</v>
      </c>
    </row>
    <row r="751" spans="7:7">
      <c r="G751" s="7" t="s">
        <v>402</v>
      </c>
    </row>
    <row r="752" spans="7:7">
      <c r="G752" s="7" t="s">
        <v>403</v>
      </c>
    </row>
    <row r="753" spans="7:7">
      <c r="G753" s="7" t="s">
        <v>1118</v>
      </c>
    </row>
    <row r="754" spans="7:7">
      <c r="G754" s="7" t="s">
        <v>404</v>
      </c>
    </row>
    <row r="755" spans="7:7">
      <c r="G755" s="7" t="s">
        <v>405</v>
      </c>
    </row>
    <row r="756" spans="7:7">
      <c r="G756" s="7" t="s">
        <v>1119</v>
      </c>
    </row>
    <row r="757" spans="7:7">
      <c r="G757" s="7" t="s">
        <v>1120</v>
      </c>
    </row>
    <row r="758" spans="7:7">
      <c r="G758" s="7" t="s">
        <v>1121</v>
      </c>
    </row>
    <row r="759" spans="7:7">
      <c r="G759" s="7" t="s">
        <v>1122</v>
      </c>
    </row>
    <row r="760" spans="7:7">
      <c r="G760" s="7" t="s">
        <v>1123</v>
      </c>
    </row>
    <row r="761" spans="7:7">
      <c r="G761" s="7" t="s">
        <v>1124</v>
      </c>
    </row>
    <row r="762" spans="7:7">
      <c r="G762" s="7" t="s">
        <v>1125</v>
      </c>
    </row>
    <row r="763" spans="7:7">
      <c r="G763" s="7" t="s">
        <v>406</v>
      </c>
    </row>
    <row r="764" spans="7:7">
      <c r="G764" s="7" t="s">
        <v>1126</v>
      </c>
    </row>
    <row r="765" spans="7:7">
      <c r="G765" s="7" t="s">
        <v>707</v>
      </c>
    </row>
    <row r="766" spans="7:7">
      <c r="G766" s="7" t="s">
        <v>1127</v>
      </c>
    </row>
    <row r="767" spans="7:7">
      <c r="G767" s="7" t="s">
        <v>1128</v>
      </c>
    </row>
    <row r="768" spans="7:7">
      <c r="G768" s="7" t="s">
        <v>1129</v>
      </c>
    </row>
    <row r="769" spans="7:7">
      <c r="G769" s="7" t="s">
        <v>1130</v>
      </c>
    </row>
    <row r="770" spans="7:7">
      <c r="G770" s="7" t="s">
        <v>1131</v>
      </c>
    </row>
    <row r="771" spans="7:7">
      <c r="G771" s="7" t="s">
        <v>408</v>
      </c>
    </row>
    <row r="772" spans="7:7">
      <c r="G772" s="7" t="s">
        <v>1132</v>
      </c>
    </row>
    <row r="773" spans="7:7">
      <c r="G773" s="7" t="s">
        <v>1133</v>
      </c>
    </row>
    <row r="774" spans="7:7">
      <c r="G774" s="7" t="s">
        <v>409</v>
      </c>
    </row>
    <row r="775" spans="7:7">
      <c r="G775" s="7" t="s">
        <v>1134</v>
      </c>
    </row>
    <row r="776" spans="7:7">
      <c r="G776" s="7" t="s">
        <v>1135</v>
      </c>
    </row>
    <row r="777" spans="7:7">
      <c r="G777" s="7" t="s">
        <v>1136</v>
      </c>
    </row>
    <row r="778" spans="7:7">
      <c r="G778" s="7" t="s">
        <v>1137</v>
      </c>
    </row>
    <row r="779" spans="7:7">
      <c r="G779" s="7" t="s">
        <v>1138</v>
      </c>
    </row>
    <row r="780" spans="7:7">
      <c r="G780" s="7" t="s">
        <v>1139</v>
      </c>
    </row>
    <row r="781" spans="7:7">
      <c r="G781" s="7" t="s">
        <v>1140</v>
      </c>
    </row>
    <row r="782" spans="7:7">
      <c r="G782" s="7" t="s">
        <v>1141</v>
      </c>
    </row>
    <row r="783" spans="7:7">
      <c r="G783" s="7" t="s">
        <v>1142</v>
      </c>
    </row>
    <row r="784" spans="7:7">
      <c r="G784" s="7" t="s">
        <v>410</v>
      </c>
    </row>
    <row r="785" spans="7:7">
      <c r="G785" s="7" t="s">
        <v>1143</v>
      </c>
    </row>
    <row r="786" spans="7:7">
      <c r="G786" s="7" t="s">
        <v>411</v>
      </c>
    </row>
    <row r="787" spans="7:7">
      <c r="G787" s="7" t="s">
        <v>412</v>
      </c>
    </row>
    <row r="788" spans="7:7">
      <c r="G788" s="7" t="s">
        <v>413</v>
      </c>
    </row>
    <row r="789" spans="7:7">
      <c r="G789" s="7" t="s">
        <v>414</v>
      </c>
    </row>
    <row r="790" spans="7:7">
      <c r="G790" s="7" t="s">
        <v>1144</v>
      </c>
    </row>
    <row r="791" spans="7:7">
      <c r="G791" s="7" t="s">
        <v>1145</v>
      </c>
    </row>
    <row r="792" spans="7:7">
      <c r="G792" s="7" t="s">
        <v>1146</v>
      </c>
    </row>
    <row r="793" spans="7:7">
      <c r="G793" s="7" t="s">
        <v>415</v>
      </c>
    </row>
    <row r="794" spans="7:7">
      <c r="G794" s="7" t="s">
        <v>1147</v>
      </c>
    </row>
    <row r="795" spans="7:7">
      <c r="G795" s="7" t="s">
        <v>1148</v>
      </c>
    </row>
    <row r="796" spans="7:7">
      <c r="G796" s="7" t="s">
        <v>1149</v>
      </c>
    </row>
    <row r="797" spans="7:7">
      <c r="G797" s="7" t="s">
        <v>416</v>
      </c>
    </row>
    <row r="798" spans="7:7">
      <c r="G798" s="7" t="s">
        <v>1150</v>
      </c>
    </row>
    <row r="799" spans="7:7">
      <c r="G799" s="7" t="s">
        <v>1151</v>
      </c>
    </row>
    <row r="800" spans="7:7">
      <c r="G800" s="7" t="s">
        <v>1152</v>
      </c>
    </row>
    <row r="801" spans="7:7">
      <c r="G801" s="7" t="s">
        <v>1153</v>
      </c>
    </row>
    <row r="802" spans="7:7">
      <c r="G802" s="7" t="s">
        <v>1154</v>
      </c>
    </row>
    <row r="803" spans="7:7">
      <c r="G803" s="7" t="s">
        <v>1155</v>
      </c>
    </row>
    <row r="804" spans="7:7">
      <c r="G804" s="7" t="s">
        <v>1156</v>
      </c>
    </row>
    <row r="805" spans="7:7">
      <c r="G805" s="7" t="s">
        <v>1157</v>
      </c>
    </row>
    <row r="806" spans="7:7">
      <c r="G806" s="7" t="s">
        <v>1158</v>
      </c>
    </row>
    <row r="807" spans="7:7">
      <c r="G807" s="7" t="s">
        <v>1159</v>
      </c>
    </row>
    <row r="808" spans="7:7">
      <c r="G808" s="7" t="s">
        <v>1160</v>
      </c>
    </row>
    <row r="809" spans="7:7">
      <c r="G809" s="7" t="s">
        <v>1161</v>
      </c>
    </row>
    <row r="810" spans="7:7">
      <c r="G810" s="7" t="s">
        <v>417</v>
      </c>
    </row>
    <row r="811" spans="7:7">
      <c r="G811" s="7" t="s">
        <v>190</v>
      </c>
    </row>
    <row r="812" spans="7:7">
      <c r="G812" s="7" t="s">
        <v>1162</v>
      </c>
    </row>
    <row r="813" spans="7:7">
      <c r="G813" s="7" t="s">
        <v>1163</v>
      </c>
    </row>
    <row r="814" spans="7:7">
      <c r="G814" s="7" t="s">
        <v>1164</v>
      </c>
    </row>
    <row r="815" spans="7:7">
      <c r="G815" s="7" t="s">
        <v>1165</v>
      </c>
    </row>
    <row r="816" spans="7:7">
      <c r="G816" s="7" t="s">
        <v>418</v>
      </c>
    </row>
    <row r="817" spans="7:7">
      <c r="G817" s="7" t="s">
        <v>1166</v>
      </c>
    </row>
    <row r="818" spans="7:7">
      <c r="G818" s="7" t="s">
        <v>1167</v>
      </c>
    </row>
    <row r="819" spans="7:7">
      <c r="G819" s="7" t="s">
        <v>420</v>
      </c>
    </row>
    <row r="820" spans="7:7">
      <c r="G820" s="7" t="s">
        <v>1168</v>
      </c>
    </row>
    <row r="821" spans="7:7">
      <c r="G821" s="7" t="s">
        <v>421</v>
      </c>
    </row>
    <row r="822" spans="7:7">
      <c r="G822" s="7" t="s">
        <v>1169</v>
      </c>
    </row>
    <row r="823" spans="7:7">
      <c r="G823" s="7" t="s">
        <v>1170</v>
      </c>
    </row>
    <row r="824" spans="7:7">
      <c r="G824" s="7" t="s">
        <v>1171</v>
      </c>
    </row>
    <row r="825" spans="7:7">
      <c r="G825" s="7" t="s">
        <v>1172</v>
      </c>
    </row>
    <row r="826" spans="7:7">
      <c r="G826" s="7" t="s">
        <v>1173</v>
      </c>
    </row>
    <row r="827" spans="7:7">
      <c r="G827" s="7" t="s">
        <v>1174</v>
      </c>
    </row>
    <row r="828" spans="7:7">
      <c r="G828" s="7" t="s">
        <v>1175</v>
      </c>
    </row>
    <row r="829" spans="7:7">
      <c r="G829" s="7" t="s">
        <v>423</v>
      </c>
    </row>
    <row r="830" spans="7:7">
      <c r="G830" s="7" t="s">
        <v>1176</v>
      </c>
    </row>
    <row r="831" spans="7:7">
      <c r="G831" s="7" t="s">
        <v>1177</v>
      </c>
    </row>
    <row r="832" spans="7:7">
      <c r="G832" s="7" t="s">
        <v>1178</v>
      </c>
    </row>
    <row r="833" spans="7:7">
      <c r="G833" s="7" t="s">
        <v>1179</v>
      </c>
    </row>
    <row r="834" spans="7:7">
      <c r="G834" s="7" t="s">
        <v>1180</v>
      </c>
    </row>
    <row r="835" spans="7:7">
      <c r="G835" s="7" t="s">
        <v>1181</v>
      </c>
    </row>
    <row r="836" spans="7:7">
      <c r="G836" s="7" t="s">
        <v>1182</v>
      </c>
    </row>
    <row r="837" spans="7:7">
      <c r="G837" s="7" t="s">
        <v>1183</v>
      </c>
    </row>
    <row r="838" spans="7:7">
      <c r="G838" s="7" t="s">
        <v>1184</v>
      </c>
    </row>
    <row r="839" spans="7:7">
      <c r="G839" s="7" t="s">
        <v>1185</v>
      </c>
    </row>
    <row r="840" spans="7:7">
      <c r="G840" s="7" t="s">
        <v>1186</v>
      </c>
    </row>
    <row r="841" spans="7:7">
      <c r="G841" s="7" t="s">
        <v>1187</v>
      </c>
    </row>
    <row r="842" spans="7:7">
      <c r="G842" s="7" t="s">
        <v>1188</v>
      </c>
    </row>
    <row r="843" spans="7:7">
      <c r="G843" s="7" t="s">
        <v>1189</v>
      </c>
    </row>
    <row r="844" spans="7:7">
      <c r="G844" s="7" t="s">
        <v>424</v>
      </c>
    </row>
    <row r="845" spans="7:7">
      <c r="G845" s="7" t="s">
        <v>1190</v>
      </c>
    </row>
    <row r="846" spans="7:7">
      <c r="G846" s="7" t="s">
        <v>1191</v>
      </c>
    </row>
    <row r="847" spans="7:7">
      <c r="G847" s="7" t="s">
        <v>425</v>
      </c>
    </row>
    <row r="848" spans="7:7">
      <c r="G848" s="7" t="s">
        <v>426</v>
      </c>
    </row>
    <row r="849" spans="7:7">
      <c r="G849" s="7" t="s">
        <v>1192</v>
      </c>
    </row>
    <row r="850" spans="7:7">
      <c r="G850" s="7" t="s">
        <v>1193</v>
      </c>
    </row>
    <row r="851" spans="7:7">
      <c r="G851" s="7" t="s">
        <v>1194</v>
      </c>
    </row>
    <row r="852" spans="7:7">
      <c r="G852" s="7" t="s">
        <v>1195</v>
      </c>
    </row>
    <row r="853" spans="7:7">
      <c r="G853" s="7" t="s">
        <v>1196</v>
      </c>
    </row>
    <row r="854" spans="7:7">
      <c r="G854" s="7" t="s">
        <v>1197</v>
      </c>
    </row>
    <row r="855" spans="7:7">
      <c r="G855" s="7" t="s">
        <v>1198</v>
      </c>
    </row>
    <row r="856" spans="7:7">
      <c r="G856" s="7" t="s">
        <v>1199</v>
      </c>
    </row>
    <row r="857" spans="7:7">
      <c r="G857" s="7" t="s">
        <v>1200</v>
      </c>
    </row>
    <row r="858" spans="7:7">
      <c r="G858" s="7" t="s">
        <v>1201</v>
      </c>
    </row>
    <row r="859" spans="7:7">
      <c r="G859" s="7" t="s">
        <v>1202</v>
      </c>
    </row>
    <row r="860" spans="7:7">
      <c r="G860" s="7" t="s">
        <v>1203</v>
      </c>
    </row>
    <row r="861" spans="7:7">
      <c r="G861" s="7" t="s">
        <v>1204</v>
      </c>
    </row>
    <row r="862" spans="7:7">
      <c r="G862" s="7" t="s">
        <v>1205</v>
      </c>
    </row>
    <row r="863" spans="7:7">
      <c r="G863" s="7" t="s">
        <v>1206</v>
      </c>
    </row>
    <row r="864" spans="7:7">
      <c r="G864" s="7" t="s">
        <v>1207</v>
      </c>
    </row>
    <row r="865" spans="7:7">
      <c r="G865" s="7" t="s">
        <v>427</v>
      </c>
    </row>
    <row r="866" spans="7:7">
      <c r="G866" s="7" t="s">
        <v>1208</v>
      </c>
    </row>
    <row r="867" spans="7:7">
      <c r="G867" s="7" t="s">
        <v>1209</v>
      </c>
    </row>
    <row r="868" spans="7:7">
      <c r="G868" s="7" t="s">
        <v>428</v>
      </c>
    </row>
    <row r="869" spans="7:7">
      <c r="G869" s="7" t="s">
        <v>1210</v>
      </c>
    </row>
    <row r="870" spans="7:7">
      <c r="G870" s="7" t="s">
        <v>471</v>
      </c>
    </row>
    <row r="871" spans="7:7">
      <c r="G871" s="7" t="s">
        <v>1211</v>
      </c>
    </row>
    <row r="872" spans="7:7">
      <c r="G872" s="7" t="s">
        <v>429</v>
      </c>
    </row>
    <row r="873" spans="7:7">
      <c r="G873" s="7" t="s">
        <v>430</v>
      </c>
    </row>
    <row r="874" spans="7:7">
      <c r="G874" s="7" t="s">
        <v>431</v>
      </c>
    </row>
    <row r="875" spans="7:7">
      <c r="G875" s="7" t="s">
        <v>1212</v>
      </c>
    </row>
    <row r="876" spans="7:7">
      <c r="G876" s="7" t="s">
        <v>432</v>
      </c>
    </row>
    <row r="877" spans="7:7">
      <c r="G877" s="7" t="s">
        <v>1213</v>
      </c>
    </row>
    <row r="878" spans="7:7">
      <c r="G878" s="7" t="s">
        <v>1214</v>
      </c>
    </row>
    <row r="879" spans="7:7">
      <c r="G879" s="7" t="s">
        <v>1215</v>
      </c>
    </row>
    <row r="880" spans="7:7">
      <c r="G880" s="7" t="s">
        <v>1216</v>
      </c>
    </row>
    <row r="881" spans="7:7">
      <c r="G881" s="7" t="s">
        <v>1217</v>
      </c>
    </row>
    <row r="882" spans="7:7">
      <c r="G882" s="7" t="s">
        <v>1218</v>
      </c>
    </row>
    <row r="883" spans="7:7">
      <c r="G883" s="7" t="s">
        <v>1219</v>
      </c>
    </row>
    <row r="884" spans="7:7">
      <c r="G884" s="7" t="s">
        <v>433</v>
      </c>
    </row>
    <row r="885" spans="7:7">
      <c r="G885" s="7" t="s">
        <v>1220</v>
      </c>
    </row>
    <row r="886" spans="7:7">
      <c r="G886" s="7" t="s">
        <v>1221</v>
      </c>
    </row>
    <row r="887" spans="7:7">
      <c r="G887" s="7" t="s">
        <v>1222</v>
      </c>
    </row>
    <row r="888" spans="7:7">
      <c r="G888" s="7" t="s">
        <v>1223</v>
      </c>
    </row>
    <row r="889" spans="7:7">
      <c r="G889" s="7" t="s">
        <v>1224</v>
      </c>
    </row>
    <row r="890" spans="7:7">
      <c r="G890" s="7" t="s">
        <v>1225</v>
      </c>
    </row>
    <row r="891" spans="7:7">
      <c r="G891" s="7" t="s">
        <v>434</v>
      </c>
    </row>
    <row r="892" spans="7:7">
      <c r="G892" s="7" t="s">
        <v>1226</v>
      </c>
    </row>
    <row r="893" spans="7:7">
      <c r="G893" s="7" t="s">
        <v>435</v>
      </c>
    </row>
    <row r="894" spans="7:7">
      <c r="G894" s="7" t="s">
        <v>1228</v>
      </c>
    </row>
    <row r="895" spans="7:7">
      <c r="G895" s="7" t="s">
        <v>1229</v>
      </c>
    </row>
    <row r="896" spans="7:7">
      <c r="G896" s="7" t="s">
        <v>436</v>
      </c>
    </row>
    <row r="897" spans="7:7">
      <c r="G897" s="7" t="s">
        <v>1230</v>
      </c>
    </row>
    <row r="898" spans="7:7">
      <c r="G898" s="7" t="s">
        <v>1231</v>
      </c>
    </row>
    <row r="899" spans="7:7">
      <c r="G899" s="7" t="s">
        <v>1232</v>
      </c>
    </row>
    <row r="900" spans="7:7">
      <c r="G900" s="7" t="s">
        <v>1233</v>
      </c>
    </row>
    <row r="901" spans="7:7">
      <c r="G901" s="7" t="s">
        <v>437</v>
      </c>
    </row>
    <row r="902" spans="7:7">
      <c r="G902" s="7" t="s">
        <v>438</v>
      </c>
    </row>
    <row r="903" spans="7:7">
      <c r="G903" s="7" t="s">
        <v>1234</v>
      </c>
    </row>
    <row r="904" spans="7:7">
      <c r="G904" s="7" t="s">
        <v>1235</v>
      </c>
    </row>
    <row r="905" spans="7:7">
      <c r="G905" s="7" t="s">
        <v>439</v>
      </c>
    </row>
    <row r="906" spans="7:7">
      <c r="G906" s="7" t="s">
        <v>440</v>
      </c>
    </row>
    <row r="907" spans="7:7">
      <c r="G907" s="7" t="s">
        <v>1236</v>
      </c>
    </row>
    <row r="908" spans="7:7">
      <c r="G908" s="7" t="s">
        <v>1237</v>
      </c>
    </row>
    <row r="909" spans="7:7">
      <c r="G909" s="7" t="s">
        <v>1238</v>
      </c>
    </row>
    <row r="910" spans="7:7">
      <c r="G910" s="7" t="s">
        <v>1239</v>
      </c>
    </row>
    <row r="911" spans="7:7">
      <c r="G911" s="7" t="s">
        <v>1240</v>
      </c>
    </row>
    <row r="912" spans="7:7">
      <c r="G912" s="7" t="s">
        <v>1241</v>
      </c>
    </row>
    <row r="913" spans="7:7">
      <c r="G913" s="7" t="s">
        <v>1242</v>
      </c>
    </row>
    <row r="914" spans="7:7">
      <c r="G914" s="7" t="s">
        <v>1243</v>
      </c>
    </row>
    <row r="915" spans="7:7">
      <c r="G915" s="7" t="s">
        <v>441</v>
      </c>
    </row>
    <row r="916" spans="7:7">
      <c r="G916" s="7" t="s">
        <v>1244</v>
      </c>
    </row>
    <row r="917" spans="7:7">
      <c r="G917" s="7" t="s">
        <v>442</v>
      </c>
    </row>
    <row r="918" spans="7:7">
      <c r="G918" s="7" t="s">
        <v>443</v>
      </c>
    </row>
    <row r="919" spans="7:7">
      <c r="G919" s="7" t="s">
        <v>1245</v>
      </c>
    </row>
    <row r="920" spans="7:7">
      <c r="G920" s="7" t="s">
        <v>1246</v>
      </c>
    </row>
    <row r="921" spans="7:7">
      <c r="G921" s="7" t="s">
        <v>444</v>
      </c>
    </row>
    <row r="922" spans="7:7">
      <c r="G922" s="7" t="s">
        <v>445</v>
      </c>
    </row>
    <row r="923" spans="7:7">
      <c r="G923" s="7" t="s">
        <v>1247</v>
      </c>
    </row>
    <row r="924" spans="7:7">
      <c r="G924" s="7" t="s">
        <v>446</v>
      </c>
    </row>
    <row r="925" spans="7:7">
      <c r="G925" s="7" t="s">
        <v>1248</v>
      </c>
    </row>
    <row r="926" spans="7:7">
      <c r="G926" s="7" t="s">
        <v>1249</v>
      </c>
    </row>
    <row r="927" spans="7:7">
      <c r="G927" s="7" t="s">
        <v>1250</v>
      </c>
    </row>
    <row r="928" spans="7:7">
      <c r="G928" s="7" t="s">
        <v>1251</v>
      </c>
    </row>
    <row r="929" spans="7:7">
      <c r="G929" s="7" t="s">
        <v>1252</v>
      </c>
    </row>
    <row r="930" spans="7:7">
      <c r="G930" s="7" t="s">
        <v>447</v>
      </c>
    </row>
    <row r="931" spans="7:7">
      <c r="G931" s="7" t="s">
        <v>448</v>
      </c>
    </row>
    <row r="932" spans="7:7">
      <c r="G932" s="7" t="s">
        <v>449</v>
      </c>
    </row>
    <row r="933" spans="7:7">
      <c r="G933" s="7" t="s">
        <v>1253</v>
      </c>
    </row>
    <row r="934" spans="7:7">
      <c r="G934" s="7" t="s">
        <v>1254</v>
      </c>
    </row>
    <row r="935" spans="7:7">
      <c r="G935" s="7" t="s">
        <v>1255</v>
      </c>
    </row>
    <row r="936" spans="7:7">
      <c r="G936" s="7" t="s">
        <v>450</v>
      </c>
    </row>
    <row r="937" spans="7:7">
      <c r="G937" s="7" t="s">
        <v>1256</v>
      </c>
    </row>
    <row r="938" spans="7:7">
      <c r="G938" s="7" t="s">
        <v>1257</v>
      </c>
    </row>
    <row r="939" spans="7:7">
      <c r="G939" s="7" t="s">
        <v>451</v>
      </c>
    </row>
    <row r="940" spans="7:7">
      <c r="G940" s="7" t="s">
        <v>452</v>
      </c>
    </row>
    <row r="941" spans="7:7">
      <c r="G941" s="7" t="s">
        <v>453</v>
      </c>
    </row>
    <row r="942" spans="7:7">
      <c r="G942" s="7" t="s">
        <v>454</v>
      </c>
    </row>
    <row r="943" spans="7:7">
      <c r="G943" s="7" t="s">
        <v>455</v>
      </c>
    </row>
    <row r="944" spans="7:7">
      <c r="G944" s="7" t="s">
        <v>456</v>
      </c>
    </row>
    <row r="945" spans="7:7">
      <c r="G945" s="7" t="s">
        <v>457</v>
      </c>
    </row>
    <row r="946" spans="7:7">
      <c r="G946" s="7" t="s">
        <v>1258</v>
      </c>
    </row>
    <row r="947" spans="7:7">
      <c r="G947" s="7" t="s">
        <v>458</v>
      </c>
    </row>
    <row r="948" spans="7:7">
      <c r="G948" s="7" t="s">
        <v>459</v>
      </c>
    </row>
    <row r="949" spans="7:7">
      <c r="G949" s="7" t="s">
        <v>460</v>
      </c>
    </row>
    <row r="950" spans="7:7">
      <c r="G950" s="7" t="s">
        <v>1259</v>
      </c>
    </row>
    <row r="951" spans="7:7">
      <c r="G951" s="7" t="s">
        <v>1260</v>
      </c>
    </row>
    <row r="952" spans="7:7">
      <c r="G952" s="7" t="s">
        <v>461</v>
      </c>
    </row>
    <row r="953" spans="7:7">
      <c r="G953" s="7" t="s">
        <v>1261</v>
      </c>
    </row>
    <row r="954" spans="7:7">
      <c r="G954" s="7" t="s">
        <v>462</v>
      </c>
    </row>
    <row r="955" spans="7:7">
      <c r="G955" s="7" t="s">
        <v>1262</v>
      </c>
    </row>
    <row r="956" spans="7:7">
      <c r="G956" s="7" t="s">
        <v>463</v>
      </c>
    </row>
    <row r="957" spans="7:7">
      <c r="G957" s="7" t="s">
        <v>1263</v>
      </c>
    </row>
    <row r="958" spans="7:7">
      <c r="G958" s="7" t="s">
        <v>1264</v>
      </c>
    </row>
    <row r="959" spans="7:7">
      <c r="G959" s="7" t="s">
        <v>1265</v>
      </c>
    </row>
    <row r="960" spans="7:7">
      <c r="G960" s="7" t="s">
        <v>1266</v>
      </c>
    </row>
    <row r="961" spans="7:7">
      <c r="G961" s="7" t="s">
        <v>1267</v>
      </c>
    </row>
    <row r="962" spans="7:7">
      <c r="G962" s="7" t="s">
        <v>1268</v>
      </c>
    </row>
    <row r="963" spans="7:7">
      <c r="G963" s="7" t="s">
        <v>1269</v>
      </c>
    </row>
    <row r="964" spans="7:7">
      <c r="G964" s="7" t="s">
        <v>464</v>
      </c>
    </row>
    <row r="965" spans="7:7">
      <c r="G965" s="7" t="s">
        <v>1270</v>
      </c>
    </row>
    <row r="966" spans="7:7">
      <c r="G966" s="7" t="s">
        <v>1271</v>
      </c>
    </row>
    <row r="967" spans="7:7">
      <c r="G967" s="7" t="s">
        <v>1272</v>
      </c>
    </row>
    <row r="968" spans="7:7">
      <c r="G968" s="7" t="s">
        <v>466</v>
      </c>
    </row>
    <row r="969" spans="7:7">
      <c r="G969" s="7" t="s">
        <v>467</v>
      </c>
    </row>
    <row r="970" spans="7:7">
      <c r="G970" s="7" t="s">
        <v>1273</v>
      </c>
    </row>
    <row r="971" spans="7:7">
      <c r="G971" s="7" t="s">
        <v>1274</v>
      </c>
    </row>
    <row r="972" spans="7:7">
      <c r="G972" s="7" t="s">
        <v>1275</v>
      </c>
    </row>
    <row r="973" spans="7:7">
      <c r="G973" s="7" t="s">
        <v>1276</v>
      </c>
    </row>
    <row r="974" spans="7:7">
      <c r="G974" s="7" t="s">
        <v>468</v>
      </c>
    </row>
    <row r="975" spans="7:7">
      <c r="G975" s="7" t="s">
        <v>1277</v>
      </c>
    </row>
    <row r="976" spans="7:7">
      <c r="G976" s="7" t="s">
        <v>469</v>
      </c>
    </row>
    <row r="977" spans="7:7">
      <c r="G977" s="7" t="s">
        <v>470</v>
      </c>
    </row>
    <row r="978" spans="7:7">
      <c r="G978" s="7" t="s">
        <v>1278</v>
      </c>
    </row>
    <row r="979" spans="7:7">
      <c r="G979" s="7" t="s">
        <v>1279</v>
      </c>
    </row>
    <row r="980" spans="7:7">
      <c r="G980" s="7" t="s">
        <v>1280</v>
      </c>
    </row>
    <row r="981" spans="7:7">
      <c r="G981" s="7" t="s">
        <v>1281</v>
      </c>
    </row>
    <row r="982" spans="7:7">
      <c r="G982" s="7" t="s">
        <v>1282</v>
      </c>
    </row>
    <row r="983" spans="7:7">
      <c r="G983" s="7" t="s">
        <v>1283</v>
      </c>
    </row>
    <row r="984" spans="7:7">
      <c r="G984" s="7"/>
    </row>
    <row r="985" spans="7:7">
      <c r="G985" s="7"/>
    </row>
    <row r="986" spans="7:7">
      <c r="G986" s="7"/>
    </row>
    <row r="987" spans="7:7">
      <c r="G987" s="7"/>
    </row>
    <row r="988" spans="7:7">
      <c r="G988" s="7"/>
    </row>
    <row r="989" spans="7:7">
      <c r="G989" s="7"/>
    </row>
    <row r="990" spans="7:7">
      <c r="G990" s="7"/>
    </row>
    <row r="991" spans="7:7">
      <c r="G991" s="7"/>
    </row>
    <row r="992" spans="7:7">
      <c r="G992" s="7"/>
    </row>
    <row r="993" spans="7:7">
      <c r="G993" s="7"/>
    </row>
    <row r="994" spans="7:7">
      <c r="G994" s="7"/>
    </row>
    <row r="995" spans="7:7">
      <c r="G995" s="7"/>
    </row>
    <row r="996" spans="7:7">
      <c r="G996" s="7"/>
    </row>
    <row r="997" spans="7:7">
      <c r="G997" s="7"/>
    </row>
    <row r="998" spans="7:7">
      <c r="G998" s="7"/>
    </row>
    <row r="999" spans="7:7">
      <c r="G999" s="7"/>
    </row>
    <row r="1000" spans="7:7">
      <c r="G1000" s="7"/>
    </row>
    <row r="1001" spans="7:7">
      <c r="G1001" s="7"/>
    </row>
    <row r="1002" spans="7:7">
      <c r="G1002" s="7"/>
    </row>
    <row r="1003" spans="7:7">
      <c r="G1003" s="7"/>
    </row>
    <row r="1004" spans="7:7">
      <c r="G1004" s="7"/>
    </row>
    <row r="1005" spans="7:7">
      <c r="G1005" s="7"/>
    </row>
    <row r="1006" spans="7:7">
      <c r="G1006" s="7"/>
    </row>
    <row r="1007" spans="7:7">
      <c r="G1007" s="7"/>
    </row>
    <row r="1008" spans="7:7">
      <c r="G1008" s="7"/>
    </row>
    <row r="1009" spans="7:7">
      <c r="G1009" s="7"/>
    </row>
    <row r="1010" spans="7:7">
      <c r="G1010" s="7"/>
    </row>
    <row r="1011" spans="7:7">
      <c r="G1011" s="7"/>
    </row>
  </sheetData>
  <sortState xmlns:xlrd2="http://schemas.microsoft.com/office/spreadsheetml/2017/richdata2" ref="D4:D19">
    <sortCondition ref="D4:D19"/>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86"/>
  <sheetViews>
    <sheetView showZeros="0" topLeftCell="A31" workbookViewId="0">
      <selection activeCell="G43" sqref="G43"/>
    </sheetView>
  </sheetViews>
  <sheetFormatPr defaultColWidth="11.42578125" defaultRowHeight="15"/>
  <cols>
    <col min="2" max="2" width="29.5703125" customWidth="1" collapsed="1"/>
    <col min="3" max="5" width="21.140625" customWidth="1" collapsed="1"/>
    <col min="6" max="6" width="15.7109375" style="81" customWidth="1" collapsed="1"/>
    <col min="7" max="7" width="11.140625" style="81" customWidth="1" collapsed="1"/>
    <col min="8" max="8" width="15.140625" style="81" customWidth="1" collapsed="1"/>
    <col min="10" max="10" width="2.5703125" customWidth="1" collapsed="1"/>
  </cols>
  <sheetData>
    <row r="1" spans="1:13">
      <c r="A1" s="6" t="s">
        <v>1399</v>
      </c>
      <c r="K1" s="338" t="s">
        <v>1400</v>
      </c>
      <c r="L1" s="338"/>
      <c r="M1" s="338"/>
    </row>
    <row r="2" spans="1:13">
      <c r="A2" s="6" t="s">
        <v>1607</v>
      </c>
      <c r="K2" s="339">
        <f>+M80+M63+M43+M33+M9</f>
        <v>0</v>
      </c>
      <c r="L2" s="339"/>
      <c r="M2" s="339"/>
    </row>
    <row r="3" spans="1:13">
      <c r="A3" s="6" t="s">
        <v>1609</v>
      </c>
    </row>
    <row r="4" spans="1:13">
      <c r="A4" s="6" t="s">
        <v>1608</v>
      </c>
    </row>
    <row r="7" spans="1:13" ht="15.75">
      <c r="A7" s="278" t="s">
        <v>1295</v>
      </c>
      <c r="B7" s="279"/>
      <c r="C7" s="279"/>
      <c r="D7" s="279"/>
      <c r="E7" s="280"/>
      <c r="F7" s="153" t="s">
        <v>1603</v>
      </c>
      <c r="K7" s="340" t="s">
        <v>1401</v>
      </c>
      <c r="L7" s="340"/>
      <c r="M7" s="340"/>
    </row>
    <row r="8" spans="1:13">
      <c r="A8" s="233" t="s">
        <v>55</v>
      </c>
      <c r="B8" s="234"/>
      <c r="C8" s="315">
        <f>+FORMULARIO!C31</f>
        <v>0</v>
      </c>
      <c r="D8" s="316"/>
      <c r="E8" s="317"/>
      <c r="F8" s="81">
        <f>+IF(C8&gt;=1,1,0)</f>
        <v>0</v>
      </c>
      <c r="K8" s="154">
        <v>1</v>
      </c>
      <c r="L8" s="128" t="s">
        <v>1604</v>
      </c>
      <c r="M8" s="128" t="s">
        <v>1605</v>
      </c>
    </row>
    <row r="9" spans="1:13">
      <c r="A9" s="240" t="s">
        <v>56</v>
      </c>
      <c r="B9" s="241"/>
      <c r="C9" s="315">
        <f>+FORMULARIO!C32</f>
        <v>0</v>
      </c>
      <c r="D9" s="316"/>
      <c r="E9" s="317"/>
      <c r="F9" s="81">
        <f t="shared" ref="F9:F30" si="0">+IF(C9&gt;=1,1,0)</f>
        <v>0</v>
      </c>
      <c r="K9" s="128">
        <f>+F31</f>
        <v>0</v>
      </c>
      <c r="L9" s="155">
        <f>+K9/23</f>
        <v>0</v>
      </c>
      <c r="M9" s="156">
        <f>+L9*0.05</f>
        <v>0</v>
      </c>
    </row>
    <row r="10" spans="1:13">
      <c r="A10" s="240" t="s">
        <v>57</v>
      </c>
      <c r="B10" s="241"/>
      <c r="C10" s="315">
        <f>+FORMULARIO!C33</f>
        <v>0</v>
      </c>
      <c r="D10" s="316"/>
      <c r="E10" s="317"/>
      <c r="F10" s="81">
        <f t="shared" si="0"/>
        <v>0</v>
      </c>
    </row>
    <row r="11" spans="1:13">
      <c r="A11" s="240" t="s">
        <v>58</v>
      </c>
      <c r="B11" s="241"/>
      <c r="C11" s="315">
        <f>+FORMULARIO!C34</f>
        <v>0</v>
      </c>
      <c r="D11" s="316"/>
      <c r="E11" s="317"/>
      <c r="F11" s="81">
        <f t="shared" si="0"/>
        <v>0</v>
      </c>
    </row>
    <row r="12" spans="1:13">
      <c r="A12" s="240" t="s">
        <v>59</v>
      </c>
      <c r="B12" s="241"/>
      <c r="C12" s="315">
        <f>+FORMULARIO!C35</f>
        <v>0</v>
      </c>
      <c r="D12" s="316"/>
      <c r="E12" s="317"/>
      <c r="F12" s="81">
        <f t="shared" si="0"/>
        <v>0</v>
      </c>
    </row>
    <row r="13" spans="1:13">
      <c r="A13" s="281" t="s">
        <v>60</v>
      </c>
      <c r="B13" s="305"/>
      <c r="C13" s="315">
        <f>+FORMULARIO!C36</f>
        <v>0</v>
      </c>
      <c r="D13" s="316"/>
      <c r="E13" s="317"/>
      <c r="F13" s="81">
        <f t="shared" si="0"/>
        <v>0</v>
      </c>
    </row>
    <row r="14" spans="1:13">
      <c r="A14" s="240" t="s">
        <v>1296</v>
      </c>
      <c r="B14" s="241"/>
      <c r="C14" s="315">
        <f>+FORMULARIO!C37</f>
        <v>0</v>
      </c>
      <c r="D14" s="316"/>
      <c r="E14" s="317"/>
      <c r="F14" s="81">
        <f t="shared" si="0"/>
        <v>0</v>
      </c>
    </row>
    <row r="15" spans="1:13">
      <c r="A15" s="240" t="s">
        <v>62</v>
      </c>
      <c r="B15" s="241"/>
      <c r="C15" s="315">
        <f>+FORMULARIO!C38</f>
        <v>0</v>
      </c>
      <c r="D15" s="316"/>
      <c r="E15" s="317"/>
      <c r="F15" s="81">
        <f t="shared" si="0"/>
        <v>0</v>
      </c>
    </row>
    <row r="16" spans="1:13">
      <c r="A16" s="240" t="s">
        <v>63</v>
      </c>
      <c r="B16" s="241"/>
      <c r="C16" s="315">
        <f>+FORMULARIO!C39</f>
        <v>0</v>
      </c>
      <c r="D16" s="316"/>
      <c r="E16" s="317"/>
      <c r="F16" s="81">
        <f t="shared" si="0"/>
        <v>0</v>
      </c>
    </row>
    <row r="17" spans="1:13">
      <c r="A17" s="240" t="s">
        <v>64</v>
      </c>
      <c r="B17" s="241"/>
      <c r="C17" s="315">
        <f>+FORMULARIO!C40</f>
        <v>0</v>
      </c>
      <c r="D17" s="316"/>
      <c r="E17" s="317"/>
      <c r="F17" s="81">
        <f t="shared" si="0"/>
        <v>0</v>
      </c>
    </row>
    <row r="18" spans="1:13">
      <c r="A18" s="240" t="s">
        <v>65</v>
      </c>
      <c r="B18" s="241"/>
      <c r="C18" s="315">
        <f>+FORMULARIO!C41</f>
        <v>0</v>
      </c>
      <c r="D18" s="316"/>
      <c r="E18" s="317"/>
      <c r="F18" s="81">
        <f t="shared" si="0"/>
        <v>0</v>
      </c>
    </row>
    <row r="19" spans="1:13">
      <c r="A19" s="240" t="s">
        <v>128</v>
      </c>
      <c r="B19" s="311"/>
      <c r="C19" s="315">
        <f>+FORMULARIO!C42</f>
        <v>0</v>
      </c>
      <c r="D19" s="316"/>
      <c r="E19" s="317"/>
      <c r="F19" s="81">
        <f t="shared" si="0"/>
        <v>0</v>
      </c>
    </row>
    <row r="20" spans="1:13">
      <c r="A20" s="213" t="s">
        <v>1371</v>
      </c>
      <c r="B20" s="213"/>
      <c r="C20" s="315">
        <f>+FORMULARIO!C43</f>
        <v>0</v>
      </c>
      <c r="D20" s="316"/>
      <c r="E20" s="317"/>
      <c r="F20" s="81">
        <f t="shared" si="0"/>
        <v>0</v>
      </c>
    </row>
    <row r="21" spans="1:13">
      <c r="A21" s="213" t="s">
        <v>1356</v>
      </c>
      <c r="B21" s="213"/>
      <c r="C21" s="315">
        <f>+FORMULARIO!C44</f>
        <v>0</v>
      </c>
      <c r="D21" s="316"/>
      <c r="E21" s="317"/>
      <c r="F21" s="81">
        <f t="shared" si="0"/>
        <v>0</v>
      </c>
    </row>
    <row r="22" spans="1:13">
      <c r="A22" s="304" t="s">
        <v>1357</v>
      </c>
      <c r="B22" s="304"/>
      <c r="C22" s="315">
        <f>+FORMULARIO!C45</f>
        <v>0</v>
      </c>
      <c r="D22" s="316"/>
      <c r="E22" s="317"/>
      <c r="F22" s="81">
        <f t="shared" si="0"/>
        <v>0</v>
      </c>
    </row>
    <row r="23" spans="1:13">
      <c r="A23" s="304" t="s">
        <v>1370</v>
      </c>
      <c r="B23" s="304"/>
      <c r="C23" s="315">
        <f>+FORMULARIO!C46</f>
        <v>0</v>
      </c>
      <c r="D23" s="316"/>
      <c r="E23" s="317"/>
      <c r="F23" s="81">
        <f t="shared" si="0"/>
        <v>0</v>
      </c>
    </row>
    <row r="24" spans="1:13">
      <c r="A24" s="304" t="s">
        <v>1358</v>
      </c>
      <c r="B24" s="304"/>
      <c r="C24" s="315">
        <f>+FORMULARIO!C47</f>
        <v>0</v>
      </c>
      <c r="D24" s="316"/>
      <c r="E24" s="317"/>
      <c r="F24" s="81">
        <f t="shared" si="0"/>
        <v>0</v>
      </c>
    </row>
    <row r="25" spans="1:13">
      <c r="A25" s="304" t="s">
        <v>1369</v>
      </c>
      <c r="B25" s="304"/>
      <c r="C25" s="315">
        <f>+FORMULARIO!C48</f>
        <v>0</v>
      </c>
      <c r="D25" s="316"/>
      <c r="E25" s="317"/>
      <c r="F25" s="81">
        <f t="shared" si="0"/>
        <v>0</v>
      </c>
    </row>
    <row r="26" spans="1:13">
      <c r="A26" s="240" t="s">
        <v>68</v>
      </c>
      <c r="B26" s="241"/>
      <c r="C26" s="315">
        <f>+FORMULARIO!C49</f>
        <v>0</v>
      </c>
      <c r="D26" s="316"/>
      <c r="E26" s="317"/>
      <c r="F26" s="81">
        <f t="shared" si="0"/>
        <v>0</v>
      </c>
    </row>
    <row r="27" spans="1:13">
      <c r="A27" s="240" t="s">
        <v>69</v>
      </c>
      <c r="B27" s="241"/>
      <c r="C27" s="315">
        <f>+FORMULARIO!C50</f>
        <v>0</v>
      </c>
      <c r="D27" s="316"/>
      <c r="E27" s="317"/>
      <c r="F27" s="81">
        <f t="shared" si="0"/>
        <v>0</v>
      </c>
    </row>
    <row r="28" spans="1:13">
      <c r="A28" s="240" t="s">
        <v>70</v>
      </c>
      <c r="B28" s="241"/>
      <c r="C28" s="315">
        <f>+FORMULARIO!C51</f>
        <v>0</v>
      </c>
      <c r="D28" s="316"/>
      <c r="E28" s="317"/>
      <c r="F28" s="81">
        <f t="shared" si="0"/>
        <v>0</v>
      </c>
    </row>
    <row r="29" spans="1:13">
      <c r="A29" s="240" t="s">
        <v>71</v>
      </c>
      <c r="B29" s="241"/>
      <c r="C29" s="315">
        <f>+FORMULARIO!C52</f>
        <v>0</v>
      </c>
      <c r="D29" s="316"/>
      <c r="E29" s="317"/>
      <c r="F29" s="81">
        <f t="shared" si="0"/>
        <v>0</v>
      </c>
    </row>
    <row r="30" spans="1:13">
      <c r="A30" s="242" t="s">
        <v>72</v>
      </c>
      <c r="B30" s="243"/>
      <c r="C30" s="315">
        <f>+FORMULARIO!C53</f>
        <v>0</v>
      </c>
      <c r="D30" s="316"/>
      <c r="E30" s="317"/>
      <c r="F30" s="81">
        <f t="shared" si="0"/>
        <v>0</v>
      </c>
    </row>
    <row r="31" spans="1:13" ht="15.75">
      <c r="A31" s="278" t="s">
        <v>73</v>
      </c>
      <c r="B31" s="279"/>
      <c r="C31" s="279"/>
      <c r="D31" s="279"/>
      <c r="E31" s="280"/>
      <c r="F31" s="81">
        <f>SUM(F8:F30)</f>
        <v>0</v>
      </c>
      <c r="K31" s="340" t="s">
        <v>1403</v>
      </c>
      <c r="L31" s="340"/>
      <c r="M31" s="340"/>
    </row>
    <row r="32" spans="1:13">
      <c r="A32" s="233" t="s">
        <v>74</v>
      </c>
      <c r="B32" s="234"/>
      <c r="C32" s="318">
        <f>+FORMULARIO!C55</f>
        <v>0</v>
      </c>
      <c r="D32" s="319"/>
      <c r="E32" s="320"/>
      <c r="F32" s="81">
        <f t="shared" ref="F32:F39" si="1">+IF(C32&gt;=1,1,0)</f>
        <v>0</v>
      </c>
      <c r="K32" s="154">
        <v>1</v>
      </c>
      <c r="L32" s="128" t="s">
        <v>1604</v>
      </c>
      <c r="M32" s="128" t="s">
        <v>1605</v>
      </c>
    </row>
    <row r="33" spans="1:13">
      <c r="A33" s="240" t="s">
        <v>75</v>
      </c>
      <c r="B33" s="241"/>
      <c r="C33" s="318">
        <f>+FORMULARIO!C56</f>
        <v>0</v>
      </c>
      <c r="D33" s="319"/>
      <c r="E33" s="320"/>
      <c r="F33" s="81">
        <f t="shared" si="1"/>
        <v>0</v>
      </c>
      <c r="K33" s="128">
        <f>+F40</f>
        <v>0</v>
      </c>
      <c r="L33" s="155">
        <f>+K33/8</f>
        <v>0</v>
      </c>
      <c r="M33" s="156">
        <f>+L33*0.05</f>
        <v>0</v>
      </c>
    </row>
    <row r="34" spans="1:13">
      <c r="A34" s="240" t="s">
        <v>76</v>
      </c>
      <c r="B34" s="241"/>
      <c r="C34" s="318">
        <f>+FORMULARIO!C57</f>
        <v>0</v>
      </c>
      <c r="D34" s="319"/>
      <c r="E34" s="320"/>
      <c r="F34" s="81">
        <f t="shared" si="1"/>
        <v>0</v>
      </c>
    </row>
    <row r="35" spans="1:13">
      <c r="A35" s="281" t="s">
        <v>77</v>
      </c>
      <c r="B35" s="282"/>
      <c r="C35" s="318">
        <f>+FORMULARIO!C58</f>
        <v>0</v>
      </c>
      <c r="D35" s="319"/>
      <c r="E35" s="320"/>
      <c r="F35" s="81">
        <f t="shared" si="1"/>
        <v>0</v>
      </c>
    </row>
    <row r="36" spans="1:13">
      <c r="A36" s="240" t="s">
        <v>68</v>
      </c>
      <c r="B36" s="241"/>
      <c r="C36" s="318">
        <f>+FORMULARIO!C59</f>
        <v>0</v>
      </c>
      <c r="D36" s="319"/>
      <c r="E36" s="320"/>
      <c r="F36" s="81">
        <f t="shared" si="1"/>
        <v>0</v>
      </c>
    </row>
    <row r="37" spans="1:13">
      <c r="A37" s="240" t="s">
        <v>78</v>
      </c>
      <c r="B37" s="241"/>
      <c r="C37" s="318">
        <f>+FORMULARIO!C60</f>
        <v>0</v>
      </c>
      <c r="D37" s="319"/>
      <c r="E37" s="320"/>
      <c r="F37" s="81">
        <f t="shared" si="1"/>
        <v>0</v>
      </c>
    </row>
    <row r="38" spans="1:13">
      <c r="A38" s="240" t="s">
        <v>72</v>
      </c>
      <c r="B38" s="241"/>
      <c r="C38" s="318">
        <f>+FORMULARIO!C61</f>
        <v>0</v>
      </c>
      <c r="D38" s="319"/>
      <c r="E38" s="320"/>
      <c r="F38" s="81">
        <f t="shared" si="1"/>
        <v>0</v>
      </c>
    </row>
    <row r="39" spans="1:13">
      <c r="A39" s="242" t="s">
        <v>69</v>
      </c>
      <c r="B39" s="243"/>
      <c r="C39" s="318">
        <f>+FORMULARIO!C62</f>
        <v>0</v>
      </c>
      <c r="D39" s="319"/>
      <c r="E39" s="320"/>
      <c r="F39" s="81">
        <f t="shared" si="1"/>
        <v>0</v>
      </c>
    </row>
    <row r="40" spans="1:13">
      <c r="A40" s="157"/>
      <c r="B40" s="158"/>
      <c r="C40" s="87"/>
      <c r="D40" s="91"/>
      <c r="E40" s="91"/>
      <c r="F40" s="81">
        <f>SUM(F32:F39)</f>
        <v>0</v>
      </c>
    </row>
    <row r="41" spans="1:13" ht="15.75">
      <c r="A41" s="278" t="s">
        <v>79</v>
      </c>
      <c r="B41" s="279"/>
      <c r="C41" s="279"/>
      <c r="D41" s="279"/>
      <c r="E41" s="279"/>
      <c r="F41" s="302"/>
      <c r="G41" s="303"/>
      <c r="H41" s="153" t="s">
        <v>1603</v>
      </c>
      <c r="K41" s="331" t="s">
        <v>1404</v>
      </c>
      <c r="L41" s="332"/>
      <c r="M41" s="333"/>
    </row>
    <row r="42" spans="1:13" ht="20.25">
      <c r="A42" s="285" t="s">
        <v>80</v>
      </c>
      <c r="B42" s="284"/>
      <c r="C42" s="284"/>
      <c r="D42" s="284"/>
      <c r="E42" s="286"/>
      <c r="F42" s="159" t="s">
        <v>129</v>
      </c>
      <c r="G42" s="97">
        <f>+FORMULARIO!G64</f>
        <v>0</v>
      </c>
      <c r="H42" s="160">
        <f>+IF(G42=1,1,0)</f>
        <v>0</v>
      </c>
      <c r="K42" s="154" t="s">
        <v>1405</v>
      </c>
      <c r="L42" s="128" t="s">
        <v>1604</v>
      </c>
      <c r="M42" s="128" t="s">
        <v>1406</v>
      </c>
    </row>
    <row r="43" spans="1:13" ht="20.25">
      <c r="A43" s="287"/>
      <c r="B43" s="262"/>
      <c r="C43" s="262"/>
      <c r="D43" s="262"/>
      <c r="E43" s="288"/>
      <c r="F43" s="161" t="s">
        <v>130</v>
      </c>
      <c r="G43" s="97">
        <f>+FORMULARIO!G65</f>
        <v>0</v>
      </c>
      <c r="H43" s="160">
        <f>+IF(G43=1,1,0)</f>
        <v>0</v>
      </c>
      <c r="K43" s="128">
        <f>SUM(H42:H43,H45:H46,H48,H50:H51,H53:H54,H58,H60)</f>
        <v>0</v>
      </c>
      <c r="L43" s="155">
        <f>+K43/7</f>
        <v>0</v>
      </c>
      <c r="M43" s="155">
        <f>+L43*0.2</f>
        <v>0</v>
      </c>
    </row>
    <row r="44" spans="1:13">
      <c r="A44" s="278" t="s">
        <v>81</v>
      </c>
      <c r="B44" s="279"/>
      <c r="C44" s="279"/>
      <c r="D44" s="279"/>
      <c r="E44" s="279"/>
      <c r="F44" s="279"/>
      <c r="G44" s="279"/>
      <c r="H44" s="153" t="s">
        <v>1603</v>
      </c>
    </row>
    <row r="45" spans="1:13" ht="27" customHeight="1">
      <c r="A45" s="283" t="s">
        <v>82</v>
      </c>
      <c r="B45" s="284"/>
      <c r="C45" s="284"/>
      <c r="D45" s="284"/>
      <c r="E45" s="284"/>
      <c r="F45" s="50" t="s">
        <v>129</v>
      </c>
      <c r="G45" s="97">
        <f>+FORMULARIO!G67</f>
        <v>0</v>
      </c>
      <c r="H45" s="160">
        <f>+IF(G45=1,1,0)</f>
        <v>0</v>
      </c>
    </row>
    <row r="46" spans="1:13" ht="27" customHeight="1">
      <c r="A46" s="261"/>
      <c r="B46" s="262"/>
      <c r="C46" s="262"/>
      <c r="D46" s="262"/>
      <c r="E46" s="262"/>
      <c r="F46" s="64" t="s">
        <v>130</v>
      </c>
      <c r="G46" s="97">
        <f>+FORMULARIO!G68</f>
        <v>0</v>
      </c>
      <c r="H46" s="160">
        <f>+IF(G46=1,1,0)</f>
        <v>0</v>
      </c>
    </row>
    <row r="47" spans="1:13">
      <c r="A47" s="278" t="s">
        <v>131</v>
      </c>
      <c r="B47" s="279"/>
      <c r="C47" s="279"/>
      <c r="D47" s="279"/>
      <c r="E47" s="279"/>
      <c r="F47" s="279"/>
      <c r="G47" s="279"/>
      <c r="H47" s="153" t="s">
        <v>1603</v>
      </c>
    </row>
    <row r="48" spans="1:13" ht="25.5" customHeight="1">
      <c r="A48" s="249" t="s">
        <v>1407</v>
      </c>
      <c r="B48" s="251"/>
      <c r="C48" s="256">
        <f>+FORMULARIO!C70</f>
        <v>0</v>
      </c>
      <c r="D48" s="257"/>
      <c r="E48" s="257"/>
      <c r="F48" s="257"/>
      <c r="G48" s="257"/>
      <c r="H48" s="160">
        <f>+IF(C48&gt;1,1,0)</f>
        <v>0</v>
      </c>
    </row>
    <row r="49" spans="1:13">
      <c r="A49" s="263" t="s">
        <v>85</v>
      </c>
      <c r="B49" s="264"/>
      <c r="C49" s="264"/>
      <c r="D49" s="264"/>
      <c r="E49" s="264"/>
      <c r="F49" s="264"/>
      <c r="G49" s="264"/>
      <c r="H49" s="153" t="s">
        <v>1603</v>
      </c>
    </row>
    <row r="50" spans="1:13" ht="20.25">
      <c r="A50" s="259" t="s">
        <v>1284</v>
      </c>
      <c r="B50" s="260"/>
      <c r="C50" s="260"/>
      <c r="D50" s="260"/>
      <c r="E50" s="260"/>
      <c r="F50" s="50" t="s">
        <v>129</v>
      </c>
      <c r="G50" s="97">
        <f>+FORMULARIO!G72</f>
        <v>0</v>
      </c>
      <c r="H50" s="160">
        <f t="shared" ref="H50:H54" si="2">+IF(G50=1,1,0)</f>
        <v>0</v>
      </c>
    </row>
    <row r="51" spans="1:13" ht="20.25">
      <c r="A51" s="261"/>
      <c r="B51" s="262"/>
      <c r="C51" s="262"/>
      <c r="D51" s="262"/>
      <c r="E51" s="262"/>
      <c r="F51" s="64" t="s">
        <v>130</v>
      </c>
      <c r="G51" s="97">
        <f>+FORMULARIO!G73</f>
        <v>0</v>
      </c>
      <c r="H51" s="160">
        <f t="shared" si="2"/>
        <v>0</v>
      </c>
    </row>
    <row r="52" spans="1:13">
      <c r="A52" s="278" t="s">
        <v>132</v>
      </c>
      <c r="B52" s="279"/>
      <c r="C52" s="279"/>
      <c r="D52" s="279"/>
      <c r="E52" s="279"/>
      <c r="F52" s="279"/>
      <c r="G52" s="279"/>
      <c r="H52" s="153" t="s">
        <v>1603</v>
      </c>
    </row>
    <row r="53" spans="1:13" ht="20.25">
      <c r="A53" s="266" t="s">
        <v>88</v>
      </c>
      <c r="B53" s="267"/>
      <c r="C53" s="267"/>
      <c r="D53" s="267"/>
      <c r="E53" s="267"/>
      <c r="F53" s="65" t="s">
        <v>129</v>
      </c>
      <c r="G53" s="97">
        <f>+FORMULARIO!G75</f>
        <v>0</v>
      </c>
      <c r="H53" s="160">
        <f t="shared" si="2"/>
        <v>0</v>
      </c>
    </row>
    <row r="54" spans="1:13" ht="20.25">
      <c r="A54" s="268"/>
      <c r="B54" s="269"/>
      <c r="C54" s="269"/>
      <c r="D54" s="269"/>
      <c r="E54" s="269"/>
      <c r="F54" s="51" t="s">
        <v>130</v>
      </c>
      <c r="G54" s="97">
        <f>+FORMULARIO!G76</f>
        <v>0</v>
      </c>
      <c r="H54" s="160">
        <f t="shared" si="2"/>
        <v>0</v>
      </c>
    </row>
    <row r="55" spans="1:13">
      <c r="A55" s="270" t="s">
        <v>89</v>
      </c>
      <c r="B55" s="271"/>
      <c r="C55" s="322">
        <f>+FORMULARIO!C77</f>
        <v>0</v>
      </c>
      <c r="D55" s="322"/>
      <c r="E55" s="322"/>
      <c r="F55" s="322"/>
      <c r="G55" s="322"/>
    </row>
    <row r="56" spans="1:13">
      <c r="A56" s="334" t="s">
        <v>90</v>
      </c>
      <c r="B56" s="335"/>
      <c r="C56" s="335"/>
      <c r="D56" s="264"/>
      <c r="E56" s="264"/>
      <c r="F56" s="335"/>
      <c r="G56" s="336"/>
      <c r="H56" s="153" t="s">
        <v>1603</v>
      </c>
    </row>
    <row r="57" spans="1:13" ht="45">
      <c r="A57" s="247" t="s">
        <v>1408</v>
      </c>
      <c r="B57" s="248"/>
      <c r="C57" s="66" t="s">
        <v>1409</v>
      </c>
      <c r="D57" s="337" t="s">
        <v>1410</v>
      </c>
      <c r="E57" s="337"/>
      <c r="F57" s="152" t="s">
        <v>1411</v>
      </c>
      <c r="G57" s="150" t="s">
        <v>1412</v>
      </c>
      <c r="H57" s="160"/>
    </row>
    <row r="58" spans="1:13" ht="20.25">
      <c r="A58" s="249"/>
      <c r="B58" s="250"/>
      <c r="C58" s="97">
        <f>+FORMULARIO!C80</f>
        <v>0</v>
      </c>
      <c r="D58" s="297">
        <f>+FORMULARIO!D80</f>
        <v>0</v>
      </c>
      <c r="E58" s="298"/>
      <c r="F58" s="97">
        <f>+FORMULARIO!F80</f>
        <v>0</v>
      </c>
      <c r="G58" s="97">
        <f>+FORMULARIO!G80</f>
        <v>0</v>
      </c>
      <c r="H58" s="160">
        <f>+IF(C58=1,1,IF(D58=1,1,IF(F58=1,1,IF(G58=1,1,0))))</f>
        <v>0</v>
      </c>
    </row>
    <row r="59" spans="1:13" ht="45">
      <c r="A59" s="247" t="s">
        <v>1413</v>
      </c>
      <c r="B59" s="248"/>
      <c r="C59" s="66" t="s">
        <v>1409</v>
      </c>
      <c r="D59" s="337" t="s">
        <v>1410</v>
      </c>
      <c r="E59" s="337"/>
      <c r="F59" s="152" t="s">
        <v>1411</v>
      </c>
      <c r="G59" s="151" t="s">
        <v>1412</v>
      </c>
      <c r="H59" s="160"/>
    </row>
    <row r="60" spans="1:13" ht="20.25">
      <c r="A60" s="293"/>
      <c r="B60" s="294"/>
      <c r="C60" s="99">
        <f>+FORMULARIO!C82</f>
        <v>0</v>
      </c>
      <c r="D60" s="299">
        <f>+FORMULARIO!D82</f>
        <v>0</v>
      </c>
      <c r="E60" s="300"/>
      <c r="F60" s="94">
        <f>+FORMULARIO!F82</f>
        <v>0</v>
      </c>
      <c r="G60" s="162">
        <f>+FORMULARIO!G82</f>
        <v>0</v>
      </c>
      <c r="H60" s="160">
        <f>+IF(C60=1,1,IF(D60=1,1,IF(F60=1,1,IF(G60=1,1,0))))</f>
        <v>0</v>
      </c>
    </row>
    <row r="61" spans="1:13" ht="15.75">
      <c r="A61" s="274" t="s">
        <v>95</v>
      </c>
      <c r="B61" s="275"/>
      <c r="C61" s="276"/>
      <c r="D61" s="276"/>
      <c r="E61" s="277"/>
      <c r="F61" s="153" t="s">
        <v>1603</v>
      </c>
      <c r="G61" s="163"/>
      <c r="K61" s="331" t="s">
        <v>1414</v>
      </c>
      <c r="L61" s="332"/>
      <c r="M61" s="333"/>
    </row>
    <row r="62" spans="1:13">
      <c r="A62" s="75" t="s">
        <v>112</v>
      </c>
      <c r="B62" s="76"/>
      <c r="C62" s="323">
        <f>+FORMULARIO!C84</f>
        <v>0</v>
      </c>
      <c r="D62" s="323"/>
      <c r="E62" s="324"/>
      <c r="F62" s="128">
        <f>+IF(C62&gt;1,1,0)</f>
        <v>0</v>
      </c>
      <c r="G62" s="164"/>
      <c r="K62" s="128" t="s">
        <v>1415</v>
      </c>
      <c r="L62" s="128" t="s">
        <v>1604</v>
      </c>
      <c r="M62" s="128" t="s">
        <v>1406</v>
      </c>
    </row>
    <row r="63" spans="1:13">
      <c r="A63" s="306" t="s">
        <v>133</v>
      </c>
      <c r="B63" s="307"/>
      <c r="C63" s="323">
        <f>+FORMULARIO!C85</f>
        <v>0</v>
      </c>
      <c r="D63" s="323"/>
      <c r="E63" s="324"/>
      <c r="F63" s="128">
        <f t="shared" ref="F63:F65" si="3">+IF(C63&gt;1,1,0)</f>
        <v>0</v>
      </c>
      <c r="G63" s="164"/>
      <c r="K63" s="160">
        <f>SUM(F62:F65,F67:F70,F72:F75)</f>
        <v>0</v>
      </c>
      <c r="L63" s="165">
        <f>+K63/12</f>
        <v>0</v>
      </c>
      <c r="M63" s="166">
        <f>+L63*0.2</f>
        <v>0</v>
      </c>
    </row>
    <row r="64" spans="1:13">
      <c r="A64" s="306" t="s">
        <v>134</v>
      </c>
      <c r="B64" s="307"/>
      <c r="C64" s="323">
        <f>+FORMULARIO!C86</f>
        <v>0</v>
      </c>
      <c r="D64" s="323"/>
      <c r="E64" s="324"/>
      <c r="F64" s="128">
        <f t="shared" si="3"/>
        <v>0</v>
      </c>
      <c r="G64" s="164"/>
    </row>
    <row r="65" spans="1:13">
      <c r="A65" s="75" t="s">
        <v>1416</v>
      </c>
      <c r="B65" s="76"/>
      <c r="C65" s="323">
        <f>+FORMULARIO!C87</f>
        <v>0</v>
      </c>
      <c r="D65" s="323"/>
      <c r="E65" s="324"/>
      <c r="F65" s="128">
        <f t="shared" si="3"/>
        <v>0</v>
      </c>
      <c r="G65" s="164"/>
    </row>
    <row r="66" spans="1:13">
      <c r="A66" s="274" t="s">
        <v>99</v>
      </c>
      <c r="B66" s="275"/>
      <c r="C66" s="276"/>
      <c r="D66" s="276"/>
      <c r="E66" s="277"/>
      <c r="F66" s="153" t="s">
        <v>1603</v>
      </c>
      <c r="G66" s="163"/>
    </row>
    <row r="67" spans="1:13">
      <c r="A67" s="75" t="s">
        <v>1373</v>
      </c>
      <c r="B67" s="76"/>
      <c r="C67" s="323">
        <f>+FORMULARIO!C89</f>
        <v>0</v>
      </c>
      <c r="D67" s="323"/>
      <c r="E67" s="324"/>
      <c r="F67" s="128">
        <f t="shared" ref="F67:F75" si="4">+IF(C67&gt;1,1,0)</f>
        <v>0</v>
      </c>
      <c r="G67" s="164"/>
    </row>
    <row r="68" spans="1:13">
      <c r="A68" s="327" t="s">
        <v>1374</v>
      </c>
      <c r="B68" s="328"/>
      <c r="C68" s="323">
        <f>+FORMULARIO!C90</f>
        <v>0</v>
      </c>
      <c r="D68" s="323"/>
      <c r="E68" s="324"/>
      <c r="F68" s="128">
        <f t="shared" si="4"/>
        <v>0</v>
      </c>
      <c r="G68" s="164"/>
    </row>
    <row r="69" spans="1:13">
      <c r="A69" s="42" t="s">
        <v>69</v>
      </c>
      <c r="B69" s="75"/>
      <c r="C69" s="323">
        <f>+FORMULARIO!C91</f>
        <v>0</v>
      </c>
      <c r="D69" s="323"/>
      <c r="E69" s="324"/>
      <c r="F69" s="128">
        <f t="shared" si="4"/>
        <v>0</v>
      </c>
      <c r="G69" s="164"/>
    </row>
    <row r="70" spans="1:13">
      <c r="A70" s="167" t="s">
        <v>1416</v>
      </c>
      <c r="B70" s="75"/>
      <c r="C70" s="323">
        <f>+FORMULARIO!C92</f>
        <v>0</v>
      </c>
      <c r="D70" s="323"/>
      <c r="E70" s="324"/>
      <c r="F70" s="128">
        <f t="shared" si="4"/>
        <v>0</v>
      </c>
      <c r="G70" s="164"/>
    </row>
    <row r="71" spans="1:13">
      <c r="A71" s="274" t="s">
        <v>1417</v>
      </c>
      <c r="B71" s="275"/>
      <c r="C71" s="276"/>
      <c r="D71" s="276"/>
      <c r="E71" s="277"/>
      <c r="F71" s="153" t="s">
        <v>1603</v>
      </c>
      <c r="G71" s="163"/>
    </row>
    <row r="72" spans="1:13">
      <c r="A72" s="75" t="s">
        <v>1376</v>
      </c>
      <c r="B72" s="76"/>
      <c r="C72" s="323">
        <f>+FORMULARIO!C94</f>
        <v>0</v>
      </c>
      <c r="D72" s="323"/>
      <c r="E72" s="324"/>
      <c r="F72" s="128">
        <f t="shared" si="4"/>
        <v>0</v>
      </c>
      <c r="G72" s="164"/>
    </row>
    <row r="73" spans="1:13">
      <c r="A73" s="75" t="s">
        <v>1377</v>
      </c>
      <c r="B73" s="76"/>
      <c r="C73" s="323">
        <f>+FORMULARIO!C95</f>
        <v>0</v>
      </c>
      <c r="D73" s="323"/>
      <c r="E73" s="324"/>
      <c r="F73" s="128">
        <f t="shared" si="4"/>
        <v>0</v>
      </c>
      <c r="G73" s="164"/>
    </row>
    <row r="74" spans="1:13">
      <c r="A74" s="306" t="s">
        <v>135</v>
      </c>
      <c r="B74" s="307"/>
      <c r="C74" s="323">
        <f>+FORMULARIO!C96</f>
        <v>0</v>
      </c>
      <c r="D74" s="323"/>
      <c r="E74" s="324"/>
      <c r="F74" s="128">
        <f t="shared" si="4"/>
        <v>0</v>
      </c>
      <c r="G74" s="168"/>
    </row>
    <row r="75" spans="1:13">
      <c r="A75" s="75" t="s">
        <v>1416</v>
      </c>
      <c r="B75" s="76"/>
      <c r="C75" s="323">
        <f>+FORMULARIO!C97</f>
        <v>0</v>
      </c>
      <c r="D75" s="323"/>
      <c r="E75" s="324"/>
      <c r="F75" s="128">
        <f t="shared" si="4"/>
        <v>0</v>
      </c>
      <c r="G75" s="164"/>
    </row>
    <row r="76" spans="1:13">
      <c r="A76" s="325" t="s">
        <v>1303</v>
      </c>
      <c r="B76" s="236"/>
      <c r="C76" s="236"/>
      <c r="D76" s="236"/>
      <c r="E76" s="236"/>
      <c r="F76" s="236"/>
      <c r="G76" s="237"/>
    </row>
    <row r="77" spans="1:13">
      <c r="A77" s="321" t="s">
        <v>102</v>
      </c>
      <c r="B77" s="218"/>
      <c r="C77" s="218"/>
      <c r="D77" s="218"/>
      <c r="E77" s="218"/>
      <c r="F77" s="218"/>
      <c r="G77" s="219"/>
    </row>
    <row r="78" spans="1:13">
      <c r="A78" s="217" t="s">
        <v>1418</v>
      </c>
      <c r="B78" s="218"/>
      <c r="C78" s="219"/>
      <c r="D78" s="217" t="s">
        <v>1419</v>
      </c>
      <c r="E78" s="218"/>
      <c r="F78" s="218"/>
      <c r="G78" s="219"/>
      <c r="H78" s="329" t="s">
        <v>1603</v>
      </c>
      <c r="I78" s="330"/>
      <c r="K78" s="326" t="s">
        <v>1420</v>
      </c>
      <c r="L78" s="326"/>
      <c r="M78" s="326"/>
    </row>
    <row r="79" spans="1:13" s="18" customFormat="1" ht="27.75" customHeight="1">
      <c r="A79" s="100">
        <f>+FORMULARIO!A100</f>
        <v>0</v>
      </c>
      <c r="B79" s="214" t="s">
        <v>1286</v>
      </c>
      <c r="C79" s="216"/>
      <c r="D79" s="100">
        <f>+FORMULARIO!D100</f>
        <v>0</v>
      </c>
      <c r="E79" s="220" t="s">
        <v>115</v>
      </c>
      <c r="F79" s="221"/>
      <c r="G79" s="222"/>
      <c r="H79" s="128">
        <f>+IF(A79&gt;=1,1,0)</f>
        <v>0</v>
      </c>
      <c r="I79" s="128">
        <f>+IF(D79&gt;=1,1,0)</f>
        <v>0</v>
      </c>
      <c r="K79" s="128" t="s">
        <v>1415</v>
      </c>
      <c r="L79" s="128" t="s">
        <v>1402</v>
      </c>
      <c r="M79" s="128" t="s">
        <v>1606</v>
      </c>
    </row>
    <row r="80" spans="1:13" s="18" customFormat="1" ht="27.75" customHeight="1">
      <c r="A80" s="100">
        <f>+FORMULARIO!A101</f>
        <v>0</v>
      </c>
      <c r="B80" s="214" t="s">
        <v>1288</v>
      </c>
      <c r="C80" s="216"/>
      <c r="D80" s="100">
        <f>+FORMULARIO!D101</f>
        <v>0</v>
      </c>
      <c r="E80" s="220" t="s">
        <v>116</v>
      </c>
      <c r="F80" s="221"/>
      <c r="G80" s="222"/>
      <c r="H80" s="128">
        <f t="shared" ref="H80:H84" si="5">+IF(A80&gt;=1,1,0)</f>
        <v>0</v>
      </c>
      <c r="I80" s="128">
        <f>+IF(D80&gt;=1,1,0)</f>
        <v>0</v>
      </c>
      <c r="K80" s="169">
        <f>SUM(H79:I84)</f>
        <v>0</v>
      </c>
      <c r="L80" s="155">
        <f>+IF(FORMULARIO!I11&gt;1,Cumplimiento!$K$80/Cumplimiento!$L$82,Cumplimiento!$K$80/Cumplimiento!$L$83)</f>
        <v>0</v>
      </c>
      <c r="M80" s="155">
        <f>+L80*0.5</f>
        <v>0</v>
      </c>
    </row>
    <row r="81" spans="1:12" s="18" customFormat="1" ht="27.75" customHeight="1">
      <c r="A81" s="100">
        <f>+FORMULARIO!A102</f>
        <v>0</v>
      </c>
      <c r="B81" s="214" t="s">
        <v>1289</v>
      </c>
      <c r="C81" s="216"/>
      <c r="D81" s="100">
        <f>+FORMULARIO!D102</f>
        <v>0</v>
      </c>
      <c r="E81" s="220" t="s">
        <v>117</v>
      </c>
      <c r="F81" s="221"/>
      <c r="G81" s="222"/>
      <c r="H81" s="128">
        <f t="shared" si="5"/>
        <v>0</v>
      </c>
      <c r="I81" s="128">
        <f t="shared" ref="I81:I84" si="6">+IF(D81&gt;=1,1,0)</f>
        <v>0</v>
      </c>
    </row>
    <row r="82" spans="1:12" s="18" customFormat="1" ht="27.75" customHeight="1">
      <c r="A82" s="100">
        <f>+FORMULARIO!A103</f>
        <v>0</v>
      </c>
      <c r="B82" s="214" t="s">
        <v>1287</v>
      </c>
      <c r="C82" s="216"/>
      <c r="D82" s="100">
        <f>+FORMULARIO!D103</f>
        <v>0</v>
      </c>
      <c r="E82" s="220" t="s">
        <v>101</v>
      </c>
      <c r="F82" s="221"/>
      <c r="G82" s="222"/>
      <c r="H82" s="128">
        <f t="shared" si="5"/>
        <v>0</v>
      </c>
      <c r="I82" s="128">
        <f t="shared" si="6"/>
        <v>0</v>
      </c>
      <c r="L82" s="18">
        <v>13</v>
      </c>
    </row>
    <row r="83" spans="1:12" s="18" customFormat="1" ht="27.75" customHeight="1">
      <c r="A83" s="100">
        <f>+FORMULARIO!A104</f>
        <v>0</v>
      </c>
      <c r="B83" s="214" t="s">
        <v>113</v>
      </c>
      <c r="C83" s="216"/>
      <c r="D83" s="100">
        <f>+FORMULARIO!D104</f>
        <v>0</v>
      </c>
      <c r="E83" s="220" t="s">
        <v>95</v>
      </c>
      <c r="F83" s="221"/>
      <c r="G83" s="222"/>
      <c r="H83" s="128">
        <f t="shared" si="5"/>
        <v>0</v>
      </c>
      <c r="I83" s="128">
        <f t="shared" si="6"/>
        <v>0</v>
      </c>
      <c r="L83" s="18">
        <v>12</v>
      </c>
    </row>
    <row r="84" spans="1:12" s="18" customFormat="1" ht="27.75" customHeight="1">
      <c r="A84" s="100">
        <f>+FORMULARIO!A105</f>
        <v>0</v>
      </c>
      <c r="B84" s="214" t="s">
        <v>114</v>
      </c>
      <c r="C84" s="216"/>
      <c r="D84" s="100">
        <f>+FORMULARIO!D105</f>
        <v>0</v>
      </c>
      <c r="E84" s="220" t="s">
        <v>99</v>
      </c>
      <c r="F84" s="221"/>
      <c r="G84" s="222"/>
      <c r="H84" s="128">
        <f t="shared" si="5"/>
        <v>0</v>
      </c>
      <c r="I84" s="128">
        <f t="shared" si="6"/>
        <v>0</v>
      </c>
    </row>
    <row r="85" spans="1:12">
      <c r="A85" s="321" t="s">
        <v>1306</v>
      </c>
      <c r="B85" s="218"/>
      <c r="C85" s="218"/>
      <c r="D85" s="218"/>
      <c r="E85" s="218"/>
      <c r="F85" s="218"/>
      <c r="G85" s="219"/>
      <c r="H85" s="170"/>
    </row>
    <row r="86" spans="1:12" ht="24" customHeight="1">
      <c r="A86" s="100">
        <f>+FORMULARIO!A107</f>
        <v>0</v>
      </c>
      <c r="B86" s="214" t="s">
        <v>44</v>
      </c>
      <c r="C86" s="216"/>
      <c r="D86" s="100"/>
      <c r="E86" s="214"/>
      <c r="F86" s="215"/>
      <c r="G86" s="216"/>
      <c r="H86" s="128">
        <f>+IF(A86&gt;=1,1,0)</f>
        <v>0</v>
      </c>
    </row>
  </sheetData>
  <mergeCells count="130">
    <mergeCell ref="K1:M1"/>
    <mergeCell ref="K2:M2"/>
    <mergeCell ref="A7:E7"/>
    <mergeCell ref="K7:M7"/>
    <mergeCell ref="A8:B8"/>
    <mergeCell ref="C8:E8"/>
    <mergeCell ref="K31:M31"/>
    <mergeCell ref="A32:B32"/>
    <mergeCell ref="C32:E32"/>
    <mergeCell ref="C9:E9"/>
    <mergeCell ref="C10:E10"/>
    <mergeCell ref="C11:E11"/>
    <mergeCell ref="A9:B9"/>
    <mergeCell ref="A10:B10"/>
    <mergeCell ref="A11:B11"/>
    <mergeCell ref="C17:E17"/>
    <mergeCell ref="C18:E18"/>
    <mergeCell ref="C19:E19"/>
    <mergeCell ref="C20:E20"/>
    <mergeCell ref="C21:E21"/>
    <mergeCell ref="A28:B28"/>
    <mergeCell ref="A29:B29"/>
    <mergeCell ref="A30:B30"/>
    <mergeCell ref="A24:B24"/>
    <mergeCell ref="A12:B12"/>
    <mergeCell ref="A13:B13"/>
    <mergeCell ref="A19:B19"/>
    <mergeCell ref="A20:B20"/>
    <mergeCell ref="A21:B21"/>
    <mergeCell ref="A41:G41"/>
    <mergeCell ref="K41:M41"/>
    <mergeCell ref="A39:B39"/>
    <mergeCell ref="A36:B36"/>
    <mergeCell ref="A37:B37"/>
    <mergeCell ref="A38:B38"/>
    <mergeCell ref="A33:B33"/>
    <mergeCell ref="A34:B34"/>
    <mergeCell ref="A35:B35"/>
    <mergeCell ref="C35:E35"/>
    <mergeCell ref="C36:E36"/>
    <mergeCell ref="C12:E12"/>
    <mergeCell ref="C13:E13"/>
    <mergeCell ref="C14:E14"/>
    <mergeCell ref="C15:E15"/>
    <mergeCell ref="A22:B22"/>
    <mergeCell ref="A23:B23"/>
    <mergeCell ref="C16:E16"/>
    <mergeCell ref="A14:B14"/>
    <mergeCell ref="K61:M61"/>
    <mergeCell ref="C62:E62"/>
    <mergeCell ref="A63:B63"/>
    <mergeCell ref="C63:E63"/>
    <mergeCell ref="A64:B64"/>
    <mergeCell ref="C64:E64"/>
    <mergeCell ref="A56:G56"/>
    <mergeCell ref="A57:B58"/>
    <mergeCell ref="D57:E57"/>
    <mergeCell ref="D58:E58"/>
    <mergeCell ref="A59:B60"/>
    <mergeCell ref="D59:E59"/>
    <mergeCell ref="D60:E60"/>
    <mergeCell ref="K78:M78"/>
    <mergeCell ref="C70:E70"/>
    <mergeCell ref="A71:E71"/>
    <mergeCell ref="C72:E72"/>
    <mergeCell ref="C73:E73"/>
    <mergeCell ref="A74:B74"/>
    <mergeCell ref="C74:E74"/>
    <mergeCell ref="C65:E65"/>
    <mergeCell ref="A66:E66"/>
    <mergeCell ref="C67:E67"/>
    <mergeCell ref="A68:B68"/>
    <mergeCell ref="C68:E68"/>
    <mergeCell ref="C69:E69"/>
    <mergeCell ref="H78:I78"/>
    <mergeCell ref="A15:B15"/>
    <mergeCell ref="A16:B16"/>
    <mergeCell ref="A17:B17"/>
    <mergeCell ref="A18:B18"/>
    <mergeCell ref="B82:C82"/>
    <mergeCell ref="E82:G82"/>
    <mergeCell ref="B83:C83"/>
    <mergeCell ref="E83:G83"/>
    <mergeCell ref="B79:C79"/>
    <mergeCell ref="E79:G79"/>
    <mergeCell ref="B80:C80"/>
    <mergeCell ref="E80:G80"/>
    <mergeCell ref="B81:C81"/>
    <mergeCell ref="E81:G81"/>
    <mergeCell ref="C75:E75"/>
    <mergeCell ref="A76:G76"/>
    <mergeCell ref="A77:G77"/>
    <mergeCell ref="A78:C78"/>
    <mergeCell ref="D78:G78"/>
    <mergeCell ref="A61:E61"/>
    <mergeCell ref="A49:G49"/>
    <mergeCell ref="A50:E51"/>
    <mergeCell ref="A52:G52"/>
    <mergeCell ref="C39:E39"/>
    <mergeCell ref="C33:E33"/>
    <mergeCell ref="C34:E34"/>
    <mergeCell ref="C37:E37"/>
    <mergeCell ref="A85:G85"/>
    <mergeCell ref="B86:C86"/>
    <mergeCell ref="E86:G86"/>
    <mergeCell ref="B84:C84"/>
    <mergeCell ref="E84:G84"/>
    <mergeCell ref="A53:E54"/>
    <mergeCell ref="A55:B55"/>
    <mergeCell ref="C55:G55"/>
    <mergeCell ref="A42:E43"/>
    <mergeCell ref="A44:G44"/>
    <mergeCell ref="A45:E46"/>
    <mergeCell ref="A47:G47"/>
    <mergeCell ref="A48:B48"/>
    <mergeCell ref="C48:G48"/>
    <mergeCell ref="C38:E38"/>
    <mergeCell ref="C22:E22"/>
    <mergeCell ref="C23:E23"/>
    <mergeCell ref="C24:E24"/>
    <mergeCell ref="C25:E25"/>
    <mergeCell ref="C26:E26"/>
    <mergeCell ref="C27:E27"/>
    <mergeCell ref="A31:E31"/>
    <mergeCell ref="A25:B25"/>
    <mergeCell ref="A26:B26"/>
    <mergeCell ref="A27:B27"/>
    <mergeCell ref="C28:E28"/>
    <mergeCell ref="C29:E29"/>
    <mergeCell ref="C30:E30"/>
  </mergeCells>
  <conditionalFormatting sqref="G42:G43">
    <cfRule type="iconSet" priority="14">
      <iconSet iconSet="3Symbols2" showValue="0">
        <cfvo type="percent" val="0"/>
        <cfvo type="num" val="1"/>
        <cfvo type="num" val="1"/>
      </iconSet>
    </cfRule>
  </conditionalFormatting>
  <conditionalFormatting sqref="C58">
    <cfRule type="iconSet" priority="15">
      <iconSet iconSet="3Symbols2" showValue="0">
        <cfvo type="percent" val="0"/>
        <cfvo type="num" val="1"/>
        <cfvo type="num" val="1"/>
      </iconSet>
    </cfRule>
  </conditionalFormatting>
  <conditionalFormatting sqref="C60 F60:G60">
    <cfRule type="iconSet" priority="10">
      <iconSet iconSet="3Symbols2" showValue="0">
        <cfvo type="percent" val="0"/>
        <cfvo type="num" val="1"/>
        <cfvo type="num" val="1"/>
      </iconSet>
    </cfRule>
  </conditionalFormatting>
  <conditionalFormatting sqref="D60">
    <cfRule type="iconSet" priority="9">
      <iconSet iconSet="3Symbols2" showValue="0">
        <cfvo type="percent" val="0"/>
        <cfvo type="num" val="1"/>
        <cfvo type="num" val="1"/>
      </iconSet>
    </cfRule>
  </conditionalFormatting>
  <conditionalFormatting sqref="A86">
    <cfRule type="iconSet" priority="6">
      <iconSet iconSet="3Symbols2" showValue="0">
        <cfvo type="percent" val="0"/>
        <cfvo type="num" val="1"/>
        <cfvo type="num" val="1"/>
      </iconSet>
    </cfRule>
  </conditionalFormatting>
  <conditionalFormatting sqref="D86">
    <cfRule type="iconSet" priority="5">
      <iconSet iconSet="3Symbols2" showValue="0">
        <cfvo type="percent" val="0"/>
        <cfvo type="num" val="1"/>
        <cfvo type="num" val="1"/>
      </iconSet>
    </cfRule>
  </conditionalFormatting>
  <conditionalFormatting sqref="D58 F58:G58">
    <cfRule type="iconSet" priority="4">
      <iconSet iconSet="3Symbols2" showValue="0">
        <cfvo type="percent" val="0"/>
        <cfvo type="num" val="1"/>
        <cfvo type="num" val="1"/>
      </iconSet>
    </cfRule>
  </conditionalFormatting>
  <conditionalFormatting sqref="G45:G46">
    <cfRule type="iconSet" priority="3">
      <iconSet iconSet="3Symbols2" showValue="0">
        <cfvo type="percent" val="0"/>
        <cfvo type="num" val="1"/>
        <cfvo type="num" val="1"/>
      </iconSet>
    </cfRule>
  </conditionalFormatting>
  <conditionalFormatting sqref="G50:G51">
    <cfRule type="iconSet" priority="2">
      <iconSet iconSet="3Symbols2" showValue="0">
        <cfvo type="percent" val="0"/>
        <cfvo type="num" val="1"/>
        <cfvo type="num" val="1"/>
      </iconSet>
    </cfRule>
  </conditionalFormatting>
  <conditionalFormatting sqref="G53:G54">
    <cfRule type="iconSet" priority="1">
      <iconSet iconSet="3Symbols2" showValue="0">
        <cfvo type="percent" val="0"/>
        <cfvo type="num" val="1"/>
        <cfvo type="num" val="1"/>
      </iconSet>
    </cfRule>
  </conditionalFormatting>
  <conditionalFormatting sqref="A79:A84">
    <cfRule type="iconSet" priority="76">
      <iconSet iconSet="3Symbols2" showValue="0">
        <cfvo type="percent" val="0"/>
        <cfvo type="num" val="1"/>
        <cfvo type="num" val="1"/>
      </iconSet>
    </cfRule>
  </conditionalFormatting>
  <conditionalFormatting sqref="D79:D84">
    <cfRule type="iconSet" priority="77">
      <iconSet iconSet="3Symbols2" showValue="0">
        <cfvo type="percent" val="0"/>
        <cfvo type="num" val="1"/>
        <cfvo type="num" val="1"/>
      </iconSet>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J390"/>
  <sheetViews>
    <sheetView showZeros="0" workbookViewId="0">
      <pane xSplit="1" ySplit="1" topLeftCell="B179" activePane="bottomRight" state="frozen"/>
      <selection pane="topRight" activeCell="B1" sqref="B1"/>
      <selection pane="bottomLeft" activeCell="A2" sqref="A2"/>
      <selection pane="bottomRight" activeCell="A2" sqref="A2"/>
    </sheetView>
  </sheetViews>
  <sheetFormatPr defaultColWidth="9.140625" defaultRowHeight="15"/>
  <cols>
    <col min="1" max="1" width="35.28515625" customWidth="1" collapsed="1"/>
    <col min="2" max="2" width="9.140625" style="81" collapsed="1"/>
    <col min="3" max="3" width="12" style="81" customWidth="1" collapsed="1"/>
    <col min="4" max="4" width="13.85546875" style="81" customWidth="1" collapsed="1"/>
    <col min="5" max="5" width="9.140625" style="81" collapsed="1"/>
    <col min="6" max="6" width="11" style="81" customWidth="1" collapsed="1"/>
    <col min="7" max="7" width="11.5703125" style="81" customWidth="1" collapsed="1"/>
    <col min="8" max="8" width="9.140625" style="43" collapsed="1"/>
    <col min="9" max="9" width="10.140625" style="6" hidden="1" customWidth="1" collapsed="1"/>
    <col min="10" max="10" width="0" style="81" hidden="1" customWidth="1" collapsed="1"/>
  </cols>
  <sheetData>
    <row r="1" spans="1:10" s="172" customFormat="1" ht="30">
      <c r="A1" s="171" t="s">
        <v>1421</v>
      </c>
      <c r="B1" s="171" t="s">
        <v>1422</v>
      </c>
      <c r="C1" s="171" t="s">
        <v>1423</v>
      </c>
      <c r="D1" s="171" t="s">
        <v>1424</v>
      </c>
      <c r="E1" s="171" t="s">
        <v>1425</v>
      </c>
      <c r="F1" s="171" t="s">
        <v>1426</v>
      </c>
      <c r="G1" s="171" t="s">
        <v>1427</v>
      </c>
      <c r="H1" s="171" t="s">
        <v>40</v>
      </c>
      <c r="I1" s="171" t="s">
        <v>1428</v>
      </c>
      <c r="J1" s="171" t="s">
        <v>1429</v>
      </c>
    </row>
    <row r="2" spans="1:10">
      <c r="A2" t="s">
        <v>1430</v>
      </c>
      <c r="B2" s="81">
        <v>1</v>
      </c>
      <c r="C2" s="81">
        <v>1</v>
      </c>
      <c r="D2" s="81">
        <v>1</v>
      </c>
      <c r="F2" s="81">
        <v>1</v>
      </c>
      <c r="H2" s="43">
        <f t="shared" ref="H2:H65" si="0">SUM(B2:G2)</f>
        <v>4</v>
      </c>
      <c r="I2" s="173">
        <f>+H2/8</f>
        <v>0.5</v>
      </c>
      <c r="J2" s="81">
        <f>+IF(H2=6,6,IF(H2=5,5,IF(H2=4,4,IF(H2=3,3,IF(H2=2,2,IF(H2=1,1,""))))))</f>
        <v>4</v>
      </c>
    </row>
    <row r="3" spans="1:10">
      <c r="A3" t="s">
        <v>1431</v>
      </c>
      <c r="F3" s="81">
        <v>1</v>
      </c>
      <c r="H3" s="43">
        <f t="shared" si="0"/>
        <v>1</v>
      </c>
      <c r="I3" s="173">
        <f t="shared" ref="I3:I66" si="1">+H3/8</f>
        <v>0.125</v>
      </c>
      <c r="J3" s="81">
        <f t="shared" ref="J3:J66" si="2">+IF(H3=6,6,IF(H3=5,5,IF(H3=4,4,IF(H3=3,3,IF(H3=2,2,IF(H3=1,1,""))))))</f>
        <v>1</v>
      </c>
    </row>
    <row r="4" spans="1:10">
      <c r="A4" t="s">
        <v>1432</v>
      </c>
      <c r="H4" s="43">
        <f t="shared" si="0"/>
        <v>0</v>
      </c>
      <c r="I4" s="173">
        <f t="shared" si="1"/>
        <v>0</v>
      </c>
      <c r="J4" s="81" t="str">
        <f t="shared" si="2"/>
        <v/>
      </c>
    </row>
    <row r="5" spans="1:10">
      <c r="A5" t="s">
        <v>1433</v>
      </c>
      <c r="H5" s="43">
        <f t="shared" si="0"/>
        <v>0</v>
      </c>
      <c r="I5" s="173">
        <f t="shared" si="1"/>
        <v>0</v>
      </c>
      <c r="J5" s="81" t="str">
        <f t="shared" si="2"/>
        <v/>
      </c>
    </row>
    <row r="6" spans="1:10">
      <c r="A6" t="s">
        <v>1434</v>
      </c>
      <c r="H6" s="43">
        <f t="shared" si="0"/>
        <v>0</v>
      </c>
      <c r="I6" s="173">
        <f t="shared" si="1"/>
        <v>0</v>
      </c>
      <c r="J6" s="81" t="str">
        <f t="shared" si="2"/>
        <v/>
      </c>
    </row>
    <row r="7" spans="1:10">
      <c r="A7" t="s">
        <v>1435</v>
      </c>
      <c r="H7" s="43">
        <f t="shared" si="0"/>
        <v>0</v>
      </c>
      <c r="I7" s="173">
        <f t="shared" si="1"/>
        <v>0</v>
      </c>
      <c r="J7" s="81" t="str">
        <f t="shared" si="2"/>
        <v/>
      </c>
    </row>
    <row r="8" spans="1:10">
      <c r="A8" t="s">
        <v>1436</v>
      </c>
      <c r="H8" s="43">
        <f t="shared" si="0"/>
        <v>0</v>
      </c>
      <c r="I8" s="173">
        <f t="shared" si="1"/>
        <v>0</v>
      </c>
      <c r="J8" s="81" t="str">
        <f t="shared" si="2"/>
        <v/>
      </c>
    </row>
    <row r="9" spans="1:10">
      <c r="A9" t="s">
        <v>485</v>
      </c>
      <c r="F9" s="81">
        <v>1</v>
      </c>
      <c r="H9" s="43">
        <f t="shared" si="0"/>
        <v>1</v>
      </c>
      <c r="I9" s="173">
        <f t="shared" si="1"/>
        <v>0.125</v>
      </c>
      <c r="J9" s="81">
        <f t="shared" si="2"/>
        <v>1</v>
      </c>
    </row>
    <row r="10" spans="1:10">
      <c r="A10" t="s">
        <v>486</v>
      </c>
      <c r="F10" s="81">
        <v>1</v>
      </c>
      <c r="H10" s="43">
        <f t="shared" si="0"/>
        <v>1</v>
      </c>
      <c r="I10" s="173">
        <f t="shared" si="1"/>
        <v>0.125</v>
      </c>
      <c r="J10" s="81">
        <f t="shared" si="2"/>
        <v>1</v>
      </c>
    </row>
    <row r="11" spans="1:10">
      <c r="A11" t="s">
        <v>1437</v>
      </c>
      <c r="H11" s="43">
        <f t="shared" si="0"/>
        <v>0</v>
      </c>
      <c r="I11" s="173">
        <f t="shared" si="1"/>
        <v>0</v>
      </c>
      <c r="J11" s="81" t="str">
        <f t="shared" si="2"/>
        <v/>
      </c>
    </row>
    <row r="12" spans="1:10">
      <c r="A12" t="s">
        <v>1438</v>
      </c>
      <c r="H12" s="43">
        <f t="shared" si="0"/>
        <v>0</v>
      </c>
      <c r="I12" s="173">
        <f t="shared" si="1"/>
        <v>0</v>
      </c>
      <c r="J12" s="81" t="str">
        <f t="shared" si="2"/>
        <v/>
      </c>
    </row>
    <row r="13" spans="1:10">
      <c r="A13" t="s">
        <v>1439</v>
      </c>
      <c r="H13" s="43">
        <f t="shared" si="0"/>
        <v>0</v>
      </c>
      <c r="I13" s="173">
        <f t="shared" si="1"/>
        <v>0</v>
      </c>
      <c r="J13" s="81" t="str">
        <f t="shared" si="2"/>
        <v/>
      </c>
    </row>
    <row r="14" spans="1:10">
      <c r="A14" t="s">
        <v>1440</v>
      </c>
      <c r="H14" s="43">
        <f t="shared" si="0"/>
        <v>0</v>
      </c>
      <c r="I14" s="173">
        <f t="shared" si="1"/>
        <v>0</v>
      </c>
      <c r="J14" s="81" t="str">
        <f t="shared" si="2"/>
        <v/>
      </c>
    </row>
    <row r="15" spans="1:10">
      <c r="A15" t="s">
        <v>1441</v>
      </c>
      <c r="E15" s="81">
        <v>1</v>
      </c>
      <c r="H15" s="43">
        <f t="shared" si="0"/>
        <v>1</v>
      </c>
      <c r="I15" s="173">
        <f t="shared" si="1"/>
        <v>0.125</v>
      </c>
      <c r="J15" s="81">
        <f t="shared" si="2"/>
        <v>1</v>
      </c>
    </row>
    <row r="16" spans="1:10">
      <c r="A16" t="s">
        <v>1442</v>
      </c>
      <c r="H16" s="43">
        <f t="shared" si="0"/>
        <v>0</v>
      </c>
      <c r="I16" s="173">
        <f t="shared" si="1"/>
        <v>0</v>
      </c>
      <c r="J16" s="81" t="str">
        <f t="shared" si="2"/>
        <v/>
      </c>
    </row>
    <row r="17" spans="1:10">
      <c r="A17" t="s">
        <v>1443</v>
      </c>
      <c r="H17" s="43">
        <f t="shared" si="0"/>
        <v>0</v>
      </c>
      <c r="I17" s="173">
        <f t="shared" si="1"/>
        <v>0</v>
      </c>
      <c r="J17" s="81" t="str">
        <f t="shared" si="2"/>
        <v/>
      </c>
    </row>
    <row r="18" spans="1:10">
      <c r="A18" t="s">
        <v>1444</v>
      </c>
      <c r="H18" s="43">
        <f t="shared" si="0"/>
        <v>0</v>
      </c>
      <c r="I18" s="173">
        <f t="shared" si="1"/>
        <v>0</v>
      </c>
      <c r="J18" s="81" t="str">
        <f t="shared" si="2"/>
        <v/>
      </c>
    </row>
    <row r="19" spans="1:10">
      <c r="A19" t="s">
        <v>1445</v>
      </c>
      <c r="H19" s="43">
        <f t="shared" si="0"/>
        <v>0</v>
      </c>
      <c r="I19" s="173">
        <f t="shared" si="1"/>
        <v>0</v>
      </c>
      <c r="J19" s="81" t="str">
        <f t="shared" si="2"/>
        <v/>
      </c>
    </row>
    <row r="20" spans="1:10">
      <c r="A20" t="s">
        <v>1446</v>
      </c>
      <c r="H20" s="43">
        <f t="shared" si="0"/>
        <v>0</v>
      </c>
      <c r="I20" s="173">
        <f t="shared" si="1"/>
        <v>0</v>
      </c>
      <c r="J20" s="81" t="str">
        <f t="shared" si="2"/>
        <v/>
      </c>
    </row>
    <row r="21" spans="1:10">
      <c r="A21" t="s">
        <v>1447</v>
      </c>
      <c r="H21" s="43">
        <f t="shared" si="0"/>
        <v>0</v>
      </c>
      <c r="I21" s="173">
        <f t="shared" si="1"/>
        <v>0</v>
      </c>
      <c r="J21" s="81" t="str">
        <f t="shared" si="2"/>
        <v/>
      </c>
    </row>
    <row r="22" spans="1:10">
      <c r="A22" t="s">
        <v>1448</v>
      </c>
      <c r="F22" s="81">
        <v>1</v>
      </c>
      <c r="H22" s="43">
        <f t="shared" si="0"/>
        <v>1</v>
      </c>
      <c r="I22" s="173">
        <f t="shared" si="1"/>
        <v>0.125</v>
      </c>
      <c r="J22" s="81">
        <f t="shared" si="2"/>
        <v>1</v>
      </c>
    </row>
    <row r="23" spans="1:10">
      <c r="A23" t="s">
        <v>1449</v>
      </c>
      <c r="C23" s="81">
        <v>1</v>
      </c>
      <c r="D23" s="81">
        <v>1</v>
      </c>
      <c r="E23" s="81">
        <v>1</v>
      </c>
      <c r="F23" s="81">
        <v>1</v>
      </c>
      <c r="H23" s="43">
        <f t="shared" si="0"/>
        <v>4</v>
      </c>
      <c r="I23" s="173">
        <f t="shared" si="1"/>
        <v>0.5</v>
      </c>
      <c r="J23" s="81">
        <f t="shared" si="2"/>
        <v>4</v>
      </c>
    </row>
    <row r="24" spans="1:10">
      <c r="A24" t="s">
        <v>1450</v>
      </c>
      <c r="B24" s="81">
        <v>1</v>
      </c>
      <c r="F24" s="81">
        <v>1</v>
      </c>
      <c r="H24" s="43">
        <f t="shared" si="0"/>
        <v>2</v>
      </c>
      <c r="I24" s="173">
        <f t="shared" si="1"/>
        <v>0.25</v>
      </c>
      <c r="J24" s="81">
        <f t="shared" si="2"/>
        <v>2</v>
      </c>
    </row>
    <row r="25" spans="1:10">
      <c r="A25" t="s">
        <v>1451</v>
      </c>
      <c r="H25" s="43">
        <f t="shared" si="0"/>
        <v>0</v>
      </c>
      <c r="I25" s="173">
        <f t="shared" si="1"/>
        <v>0</v>
      </c>
      <c r="J25" s="81" t="str">
        <f t="shared" si="2"/>
        <v/>
      </c>
    </row>
    <row r="26" spans="1:10">
      <c r="A26" t="s">
        <v>1452</v>
      </c>
      <c r="D26" s="81">
        <v>1</v>
      </c>
      <c r="E26" s="81">
        <v>1</v>
      </c>
      <c r="F26" s="81">
        <v>1</v>
      </c>
      <c r="H26" s="43">
        <f t="shared" si="0"/>
        <v>3</v>
      </c>
      <c r="I26" s="173">
        <f t="shared" si="1"/>
        <v>0.375</v>
      </c>
      <c r="J26" s="81">
        <f t="shared" si="2"/>
        <v>3</v>
      </c>
    </row>
    <row r="27" spans="1:10">
      <c r="A27" t="s">
        <v>1453</v>
      </c>
      <c r="H27" s="43">
        <f t="shared" si="0"/>
        <v>0</v>
      </c>
      <c r="I27" s="173">
        <f t="shared" si="1"/>
        <v>0</v>
      </c>
      <c r="J27" s="81" t="str">
        <f t="shared" si="2"/>
        <v/>
      </c>
    </row>
    <row r="28" spans="1:10">
      <c r="A28" t="s">
        <v>1454</v>
      </c>
      <c r="C28" s="81">
        <v>1</v>
      </c>
      <c r="D28" s="81">
        <v>1</v>
      </c>
      <c r="E28" s="81">
        <v>1</v>
      </c>
      <c r="F28" s="81">
        <v>1</v>
      </c>
      <c r="H28" s="43">
        <f t="shared" si="0"/>
        <v>4</v>
      </c>
      <c r="I28" s="173">
        <f t="shared" si="1"/>
        <v>0.5</v>
      </c>
      <c r="J28" s="81">
        <f t="shared" si="2"/>
        <v>4</v>
      </c>
    </row>
    <row r="29" spans="1:10">
      <c r="A29" t="s">
        <v>1455</v>
      </c>
      <c r="H29" s="43">
        <f t="shared" si="0"/>
        <v>0</v>
      </c>
      <c r="I29" s="173">
        <f t="shared" si="1"/>
        <v>0</v>
      </c>
      <c r="J29" s="81" t="str">
        <f t="shared" si="2"/>
        <v/>
      </c>
    </row>
    <row r="30" spans="1:10">
      <c r="A30" t="s">
        <v>1456</v>
      </c>
      <c r="F30" s="81">
        <v>1</v>
      </c>
      <c r="H30" s="43">
        <f t="shared" si="0"/>
        <v>1</v>
      </c>
      <c r="I30" s="173">
        <f t="shared" si="1"/>
        <v>0.125</v>
      </c>
      <c r="J30" s="81">
        <f t="shared" si="2"/>
        <v>1</v>
      </c>
    </row>
    <row r="31" spans="1:10">
      <c r="A31" t="s">
        <v>1457</v>
      </c>
      <c r="H31" s="43">
        <f t="shared" si="0"/>
        <v>0</v>
      </c>
      <c r="I31" s="173">
        <f t="shared" si="1"/>
        <v>0</v>
      </c>
      <c r="J31" s="81" t="str">
        <f t="shared" si="2"/>
        <v/>
      </c>
    </row>
    <row r="32" spans="1:10">
      <c r="A32" t="s">
        <v>1458</v>
      </c>
      <c r="H32" s="43">
        <f t="shared" si="0"/>
        <v>0</v>
      </c>
      <c r="I32" s="173">
        <f t="shared" si="1"/>
        <v>0</v>
      </c>
      <c r="J32" s="81" t="str">
        <f t="shared" si="2"/>
        <v/>
      </c>
    </row>
    <row r="33" spans="1:10">
      <c r="A33" t="s">
        <v>1459</v>
      </c>
      <c r="F33" s="81">
        <v>1</v>
      </c>
      <c r="H33" s="43">
        <f t="shared" si="0"/>
        <v>1</v>
      </c>
      <c r="I33" s="173">
        <f t="shared" si="1"/>
        <v>0.125</v>
      </c>
      <c r="J33" s="81">
        <f t="shared" si="2"/>
        <v>1</v>
      </c>
    </row>
    <row r="34" spans="1:10">
      <c r="A34" t="s">
        <v>1460</v>
      </c>
      <c r="H34" s="43">
        <f t="shared" si="0"/>
        <v>0</v>
      </c>
      <c r="I34" s="173">
        <f t="shared" si="1"/>
        <v>0</v>
      </c>
      <c r="J34" s="81" t="str">
        <f t="shared" si="2"/>
        <v/>
      </c>
    </row>
    <row r="35" spans="1:10">
      <c r="A35" t="s">
        <v>1461</v>
      </c>
      <c r="H35" s="43">
        <f t="shared" si="0"/>
        <v>0</v>
      </c>
      <c r="I35" s="173">
        <f t="shared" si="1"/>
        <v>0</v>
      </c>
      <c r="J35" s="81" t="str">
        <f t="shared" si="2"/>
        <v/>
      </c>
    </row>
    <row r="36" spans="1:10">
      <c r="A36" t="s">
        <v>1462</v>
      </c>
      <c r="E36" s="81">
        <v>1</v>
      </c>
      <c r="H36" s="43">
        <f t="shared" si="0"/>
        <v>1</v>
      </c>
      <c r="I36" s="173">
        <f t="shared" si="1"/>
        <v>0.125</v>
      </c>
      <c r="J36" s="81">
        <f t="shared" si="2"/>
        <v>1</v>
      </c>
    </row>
    <row r="37" spans="1:10">
      <c r="A37" t="s">
        <v>1463</v>
      </c>
      <c r="E37" s="81">
        <v>1</v>
      </c>
      <c r="H37" s="43">
        <f t="shared" si="0"/>
        <v>1</v>
      </c>
      <c r="I37" s="173">
        <f t="shared" si="1"/>
        <v>0.125</v>
      </c>
      <c r="J37" s="81">
        <f t="shared" si="2"/>
        <v>1</v>
      </c>
    </row>
    <row r="38" spans="1:10">
      <c r="A38" t="s">
        <v>1464</v>
      </c>
      <c r="H38" s="43">
        <f t="shared" si="0"/>
        <v>0</v>
      </c>
      <c r="I38" s="173">
        <f t="shared" si="1"/>
        <v>0</v>
      </c>
      <c r="J38" s="81" t="str">
        <f t="shared" si="2"/>
        <v/>
      </c>
    </row>
    <row r="39" spans="1:10">
      <c r="A39" t="s">
        <v>1465</v>
      </c>
      <c r="F39" s="81">
        <v>1</v>
      </c>
      <c r="H39" s="43">
        <f t="shared" si="0"/>
        <v>1</v>
      </c>
      <c r="I39" s="173">
        <f t="shared" si="1"/>
        <v>0.125</v>
      </c>
      <c r="J39" s="81">
        <f t="shared" si="2"/>
        <v>1</v>
      </c>
    </row>
    <row r="40" spans="1:10">
      <c r="A40" t="s">
        <v>1466</v>
      </c>
      <c r="F40" s="81">
        <v>1</v>
      </c>
      <c r="H40" s="43">
        <f t="shared" si="0"/>
        <v>1</v>
      </c>
      <c r="I40" s="173">
        <f t="shared" si="1"/>
        <v>0.125</v>
      </c>
      <c r="J40" s="81">
        <f t="shared" si="2"/>
        <v>1</v>
      </c>
    </row>
    <row r="41" spans="1:10">
      <c r="A41" t="s">
        <v>1467</v>
      </c>
      <c r="H41" s="43">
        <f t="shared" si="0"/>
        <v>0</v>
      </c>
      <c r="I41" s="173">
        <f t="shared" si="1"/>
        <v>0</v>
      </c>
      <c r="J41" s="81" t="str">
        <f t="shared" si="2"/>
        <v/>
      </c>
    </row>
    <row r="42" spans="1:10">
      <c r="A42" t="s">
        <v>515</v>
      </c>
      <c r="E42" s="81">
        <v>1</v>
      </c>
      <c r="H42" s="43">
        <f t="shared" si="0"/>
        <v>1</v>
      </c>
      <c r="I42" s="173">
        <f t="shared" si="1"/>
        <v>0.125</v>
      </c>
      <c r="J42" s="81">
        <f t="shared" si="2"/>
        <v>1</v>
      </c>
    </row>
    <row r="43" spans="1:10">
      <c r="A43" t="s">
        <v>1468</v>
      </c>
      <c r="F43" s="81">
        <v>1</v>
      </c>
      <c r="H43" s="43">
        <f t="shared" si="0"/>
        <v>1</v>
      </c>
      <c r="I43" s="173">
        <f t="shared" si="1"/>
        <v>0.125</v>
      </c>
      <c r="J43" s="81">
        <f t="shared" si="2"/>
        <v>1</v>
      </c>
    </row>
    <row r="44" spans="1:10">
      <c r="A44" t="s">
        <v>1469</v>
      </c>
      <c r="C44" s="81">
        <v>1</v>
      </c>
      <c r="D44" s="81">
        <v>1</v>
      </c>
      <c r="F44" s="81">
        <v>1</v>
      </c>
      <c r="H44" s="43">
        <f t="shared" si="0"/>
        <v>3</v>
      </c>
      <c r="I44" s="173">
        <f t="shared" si="1"/>
        <v>0.375</v>
      </c>
      <c r="J44" s="81">
        <f t="shared" si="2"/>
        <v>3</v>
      </c>
    </row>
    <row r="45" spans="1:10">
      <c r="A45" t="s">
        <v>1470</v>
      </c>
      <c r="H45" s="43">
        <f t="shared" si="0"/>
        <v>0</v>
      </c>
      <c r="I45" s="173">
        <f t="shared" si="1"/>
        <v>0</v>
      </c>
      <c r="J45" s="81" t="str">
        <f t="shared" si="2"/>
        <v/>
      </c>
    </row>
    <row r="46" spans="1:10">
      <c r="A46" t="s">
        <v>1471</v>
      </c>
      <c r="F46" s="81">
        <v>1</v>
      </c>
      <c r="H46" s="43">
        <f t="shared" si="0"/>
        <v>1</v>
      </c>
      <c r="I46" s="173">
        <f t="shared" si="1"/>
        <v>0.125</v>
      </c>
      <c r="J46" s="81">
        <f t="shared" si="2"/>
        <v>1</v>
      </c>
    </row>
    <row r="47" spans="1:10">
      <c r="A47" t="s">
        <v>1472</v>
      </c>
      <c r="D47" s="81">
        <v>1</v>
      </c>
      <c r="E47" s="81">
        <v>1</v>
      </c>
      <c r="F47" s="81">
        <v>1</v>
      </c>
      <c r="H47" s="43">
        <f t="shared" si="0"/>
        <v>3</v>
      </c>
      <c r="I47" s="173">
        <f t="shared" si="1"/>
        <v>0.375</v>
      </c>
      <c r="J47" s="81">
        <f t="shared" si="2"/>
        <v>3</v>
      </c>
    </row>
    <row r="48" spans="1:10">
      <c r="A48" t="s">
        <v>1473</v>
      </c>
      <c r="F48" s="81">
        <v>1</v>
      </c>
      <c r="H48" s="43">
        <f t="shared" si="0"/>
        <v>1</v>
      </c>
      <c r="I48" s="173">
        <f t="shared" si="1"/>
        <v>0.125</v>
      </c>
      <c r="J48" s="81">
        <f t="shared" si="2"/>
        <v>1</v>
      </c>
    </row>
    <row r="49" spans="1:10">
      <c r="A49" t="s">
        <v>1474</v>
      </c>
      <c r="H49" s="43">
        <f t="shared" si="0"/>
        <v>0</v>
      </c>
      <c r="I49" s="173">
        <f t="shared" si="1"/>
        <v>0</v>
      </c>
      <c r="J49" s="81" t="str">
        <f t="shared" si="2"/>
        <v/>
      </c>
    </row>
    <row r="50" spans="1:10">
      <c r="A50" t="s">
        <v>1475</v>
      </c>
      <c r="H50" s="43">
        <f t="shared" si="0"/>
        <v>0</v>
      </c>
      <c r="I50" s="173">
        <f t="shared" si="1"/>
        <v>0</v>
      </c>
      <c r="J50" s="81" t="str">
        <f t="shared" si="2"/>
        <v/>
      </c>
    </row>
    <row r="51" spans="1:10">
      <c r="A51" t="s">
        <v>1476</v>
      </c>
      <c r="C51" s="81">
        <v>1</v>
      </c>
      <c r="D51" s="81">
        <v>1</v>
      </c>
      <c r="F51" s="81">
        <v>1</v>
      </c>
      <c r="H51" s="43">
        <f t="shared" si="0"/>
        <v>3</v>
      </c>
      <c r="I51" s="173">
        <f t="shared" si="1"/>
        <v>0.375</v>
      </c>
      <c r="J51" s="81">
        <f t="shared" si="2"/>
        <v>3</v>
      </c>
    </row>
    <row r="52" spans="1:10">
      <c r="A52" t="s">
        <v>1477</v>
      </c>
      <c r="H52" s="43">
        <f t="shared" si="0"/>
        <v>0</v>
      </c>
      <c r="I52" s="173">
        <f t="shared" si="1"/>
        <v>0</v>
      </c>
      <c r="J52" s="81" t="str">
        <f t="shared" si="2"/>
        <v/>
      </c>
    </row>
    <row r="53" spans="1:10">
      <c r="A53" t="s">
        <v>1478</v>
      </c>
      <c r="F53" s="81">
        <v>1</v>
      </c>
      <c r="H53" s="43">
        <f t="shared" si="0"/>
        <v>1</v>
      </c>
      <c r="I53" s="173">
        <f t="shared" si="1"/>
        <v>0.125</v>
      </c>
      <c r="J53" s="81">
        <f t="shared" si="2"/>
        <v>1</v>
      </c>
    </row>
    <row r="54" spans="1:10">
      <c r="A54" t="s">
        <v>1479</v>
      </c>
      <c r="C54" s="81">
        <v>1</v>
      </c>
      <c r="D54" s="81">
        <v>1</v>
      </c>
      <c r="F54" s="81">
        <v>1</v>
      </c>
      <c r="H54" s="43">
        <f t="shared" si="0"/>
        <v>3</v>
      </c>
      <c r="I54" s="173">
        <f t="shared" si="1"/>
        <v>0.375</v>
      </c>
      <c r="J54" s="81">
        <f t="shared" si="2"/>
        <v>3</v>
      </c>
    </row>
    <row r="55" spans="1:10">
      <c r="A55" t="s">
        <v>1480</v>
      </c>
      <c r="H55" s="43">
        <f t="shared" si="0"/>
        <v>0</v>
      </c>
      <c r="I55" s="173">
        <f t="shared" si="1"/>
        <v>0</v>
      </c>
      <c r="J55" s="81" t="str">
        <f t="shared" si="2"/>
        <v/>
      </c>
    </row>
    <row r="56" spans="1:10">
      <c r="A56" t="s">
        <v>531</v>
      </c>
      <c r="H56" s="43">
        <f t="shared" si="0"/>
        <v>0</v>
      </c>
      <c r="I56" s="173">
        <f t="shared" si="1"/>
        <v>0</v>
      </c>
      <c r="J56" s="81" t="str">
        <f t="shared" si="2"/>
        <v/>
      </c>
    </row>
    <row r="57" spans="1:10">
      <c r="A57" t="s">
        <v>532</v>
      </c>
      <c r="F57" s="81">
        <v>1</v>
      </c>
      <c r="H57" s="43">
        <f t="shared" si="0"/>
        <v>1</v>
      </c>
      <c r="I57" s="173">
        <f t="shared" si="1"/>
        <v>0.125</v>
      </c>
      <c r="J57" s="81">
        <f t="shared" si="2"/>
        <v>1</v>
      </c>
    </row>
    <row r="58" spans="1:10">
      <c r="A58" t="s">
        <v>1481</v>
      </c>
      <c r="F58" s="81">
        <v>1</v>
      </c>
      <c r="H58" s="43">
        <f t="shared" si="0"/>
        <v>1</v>
      </c>
      <c r="I58" s="173">
        <f t="shared" si="1"/>
        <v>0.125</v>
      </c>
      <c r="J58" s="81">
        <f t="shared" si="2"/>
        <v>1</v>
      </c>
    </row>
    <row r="59" spans="1:10">
      <c r="A59" t="s">
        <v>1482</v>
      </c>
      <c r="F59" s="81">
        <v>1</v>
      </c>
      <c r="H59" s="43">
        <f t="shared" si="0"/>
        <v>1</v>
      </c>
      <c r="I59" s="173">
        <f t="shared" si="1"/>
        <v>0.125</v>
      </c>
      <c r="J59" s="81">
        <f t="shared" si="2"/>
        <v>1</v>
      </c>
    </row>
    <row r="60" spans="1:10">
      <c r="A60" t="s">
        <v>1483</v>
      </c>
      <c r="F60" s="81">
        <v>1</v>
      </c>
      <c r="H60" s="43">
        <f t="shared" si="0"/>
        <v>1</v>
      </c>
      <c r="I60" s="173">
        <f t="shared" si="1"/>
        <v>0.125</v>
      </c>
      <c r="J60" s="81">
        <f t="shared" si="2"/>
        <v>1</v>
      </c>
    </row>
    <row r="61" spans="1:10">
      <c r="A61" t="s">
        <v>1484</v>
      </c>
      <c r="H61" s="43">
        <f t="shared" si="0"/>
        <v>0</v>
      </c>
      <c r="I61" s="173">
        <f t="shared" si="1"/>
        <v>0</v>
      </c>
      <c r="J61" s="81" t="str">
        <f t="shared" si="2"/>
        <v/>
      </c>
    </row>
    <row r="62" spans="1:10">
      <c r="A62" t="s">
        <v>537</v>
      </c>
      <c r="H62" s="43">
        <f t="shared" si="0"/>
        <v>0</v>
      </c>
      <c r="I62" s="173">
        <f t="shared" si="1"/>
        <v>0</v>
      </c>
      <c r="J62" s="81" t="str">
        <f t="shared" si="2"/>
        <v/>
      </c>
    </row>
    <row r="63" spans="1:10">
      <c r="A63" t="s">
        <v>1485</v>
      </c>
      <c r="H63" s="43">
        <f t="shared" si="0"/>
        <v>0</v>
      </c>
      <c r="I63" s="173">
        <f t="shared" si="1"/>
        <v>0</v>
      </c>
      <c r="J63" s="81" t="str">
        <f t="shared" si="2"/>
        <v/>
      </c>
    </row>
    <row r="64" spans="1:10">
      <c r="A64" t="s">
        <v>1486</v>
      </c>
      <c r="H64" s="43">
        <f t="shared" si="0"/>
        <v>0</v>
      </c>
      <c r="I64" s="173">
        <f t="shared" si="1"/>
        <v>0</v>
      </c>
      <c r="J64" s="81" t="str">
        <f t="shared" si="2"/>
        <v/>
      </c>
    </row>
    <row r="65" spans="1:10">
      <c r="A65" t="s">
        <v>1487</v>
      </c>
      <c r="H65" s="43">
        <f t="shared" si="0"/>
        <v>0</v>
      </c>
      <c r="I65" s="173">
        <f t="shared" si="1"/>
        <v>0</v>
      </c>
      <c r="J65" s="81" t="str">
        <f t="shared" si="2"/>
        <v/>
      </c>
    </row>
    <row r="66" spans="1:10">
      <c r="A66" t="s">
        <v>1488</v>
      </c>
      <c r="H66" s="43">
        <f t="shared" ref="H66:H129" si="3">SUM(B66:G66)</f>
        <v>0</v>
      </c>
      <c r="I66" s="173">
        <f t="shared" si="1"/>
        <v>0</v>
      </c>
      <c r="J66" s="81" t="str">
        <f t="shared" si="2"/>
        <v/>
      </c>
    </row>
    <row r="67" spans="1:10">
      <c r="A67" t="s">
        <v>1489</v>
      </c>
      <c r="H67" s="43">
        <f t="shared" si="3"/>
        <v>0</v>
      </c>
      <c r="I67" s="173">
        <f t="shared" ref="I67:I130" si="4">+H67/8</f>
        <v>0</v>
      </c>
      <c r="J67" s="81" t="str">
        <f t="shared" ref="J67:J130" si="5">+IF(H67=6,6,IF(H67=5,5,IF(H67=4,4,IF(H67=3,3,IF(H67=2,2,IF(H67=1,1,""))))))</f>
        <v/>
      </c>
    </row>
    <row r="68" spans="1:10">
      <c r="A68" t="s">
        <v>1490</v>
      </c>
      <c r="H68" s="43">
        <f t="shared" si="3"/>
        <v>0</v>
      </c>
      <c r="I68" s="173">
        <f t="shared" si="4"/>
        <v>0</v>
      </c>
      <c r="J68" s="81" t="str">
        <f t="shared" si="5"/>
        <v/>
      </c>
    </row>
    <row r="69" spans="1:10">
      <c r="A69" t="s">
        <v>1491</v>
      </c>
      <c r="H69" s="43">
        <f t="shared" si="3"/>
        <v>0</v>
      </c>
      <c r="I69" s="173">
        <f t="shared" si="4"/>
        <v>0</v>
      </c>
      <c r="J69" s="81" t="str">
        <f t="shared" si="5"/>
        <v/>
      </c>
    </row>
    <row r="70" spans="1:10">
      <c r="A70" t="s">
        <v>1492</v>
      </c>
      <c r="H70" s="43">
        <f t="shared" si="3"/>
        <v>0</v>
      </c>
      <c r="I70" s="173">
        <f t="shared" si="4"/>
        <v>0</v>
      </c>
      <c r="J70" s="81" t="str">
        <f t="shared" si="5"/>
        <v/>
      </c>
    </row>
    <row r="71" spans="1:10">
      <c r="A71" t="s">
        <v>1493</v>
      </c>
      <c r="E71" s="81">
        <v>1</v>
      </c>
      <c r="H71" s="43">
        <f t="shared" si="3"/>
        <v>1</v>
      </c>
      <c r="I71" s="173">
        <f t="shared" si="4"/>
        <v>0.125</v>
      </c>
      <c r="J71" s="81">
        <f t="shared" si="5"/>
        <v>1</v>
      </c>
    </row>
    <row r="72" spans="1:10">
      <c r="A72" t="s">
        <v>1494</v>
      </c>
      <c r="H72" s="43">
        <f t="shared" si="3"/>
        <v>0</v>
      </c>
      <c r="I72" s="173">
        <f t="shared" si="4"/>
        <v>0</v>
      </c>
      <c r="J72" s="81" t="str">
        <f t="shared" si="5"/>
        <v/>
      </c>
    </row>
    <row r="73" spans="1:10">
      <c r="A73" t="s">
        <v>1495</v>
      </c>
      <c r="F73" s="81">
        <v>1</v>
      </c>
      <c r="H73" s="43">
        <f t="shared" si="3"/>
        <v>1</v>
      </c>
      <c r="I73" s="173">
        <f t="shared" si="4"/>
        <v>0.125</v>
      </c>
      <c r="J73" s="81">
        <f t="shared" si="5"/>
        <v>1</v>
      </c>
    </row>
    <row r="74" spans="1:10">
      <c r="A74" t="s">
        <v>1496</v>
      </c>
      <c r="F74" s="81">
        <v>1</v>
      </c>
      <c r="H74" s="43">
        <f t="shared" si="3"/>
        <v>1</v>
      </c>
      <c r="I74" s="173">
        <f t="shared" si="4"/>
        <v>0.125</v>
      </c>
      <c r="J74" s="81">
        <f t="shared" si="5"/>
        <v>1</v>
      </c>
    </row>
    <row r="75" spans="1:10">
      <c r="A75" t="s">
        <v>1497</v>
      </c>
      <c r="F75" s="81">
        <v>1</v>
      </c>
      <c r="H75" s="43">
        <f t="shared" si="3"/>
        <v>1</v>
      </c>
      <c r="I75" s="173">
        <f t="shared" si="4"/>
        <v>0.125</v>
      </c>
      <c r="J75" s="81">
        <f t="shared" si="5"/>
        <v>1</v>
      </c>
    </row>
    <row r="76" spans="1:10">
      <c r="A76" t="s">
        <v>1498</v>
      </c>
      <c r="B76" s="81">
        <v>1</v>
      </c>
      <c r="H76" s="43">
        <f t="shared" si="3"/>
        <v>1</v>
      </c>
      <c r="I76" s="173">
        <f t="shared" si="4"/>
        <v>0.125</v>
      </c>
      <c r="J76" s="81">
        <f t="shared" si="5"/>
        <v>1</v>
      </c>
    </row>
    <row r="77" spans="1:10">
      <c r="A77" t="s">
        <v>1499</v>
      </c>
      <c r="C77" s="81">
        <v>1</v>
      </c>
      <c r="D77" s="81">
        <v>1</v>
      </c>
      <c r="E77" s="81">
        <v>1</v>
      </c>
      <c r="F77" s="81">
        <v>1</v>
      </c>
      <c r="H77" s="43">
        <f t="shared" si="3"/>
        <v>4</v>
      </c>
      <c r="I77" s="173">
        <f t="shared" si="4"/>
        <v>0.5</v>
      </c>
      <c r="J77" s="81">
        <f t="shared" si="5"/>
        <v>4</v>
      </c>
    </row>
    <row r="78" spans="1:10">
      <c r="A78" t="s">
        <v>1500</v>
      </c>
      <c r="H78" s="43">
        <f t="shared" si="3"/>
        <v>0</v>
      </c>
      <c r="I78" s="173">
        <f t="shared" si="4"/>
        <v>0</v>
      </c>
      <c r="J78" s="81" t="str">
        <f t="shared" si="5"/>
        <v/>
      </c>
    </row>
    <row r="79" spans="1:10">
      <c r="A79" t="s">
        <v>1501</v>
      </c>
      <c r="F79" s="81">
        <v>1</v>
      </c>
      <c r="H79" s="43">
        <f t="shared" si="3"/>
        <v>1</v>
      </c>
      <c r="I79" s="173">
        <f t="shared" si="4"/>
        <v>0.125</v>
      </c>
      <c r="J79" s="81">
        <f t="shared" si="5"/>
        <v>1</v>
      </c>
    </row>
    <row r="80" spans="1:10">
      <c r="A80" t="s">
        <v>1502</v>
      </c>
      <c r="F80" s="81">
        <v>1</v>
      </c>
      <c r="H80" s="43">
        <f t="shared" si="3"/>
        <v>1</v>
      </c>
      <c r="I80" s="173">
        <f t="shared" si="4"/>
        <v>0.125</v>
      </c>
      <c r="J80" s="81">
        <f t="shared" si="5"/>
        <v>1</v>
      </c>
    </row>
    <row r="81" spans="1:10">
      <c r="A81" t="s">
        <v>557</v>
      </c>
      <c r="E81" s="81">
        <v>1</v>
      </c>
      <c r="H81" s="43">
        <f t="shared" si="3"/>
        <v>1</v>
      </c>
      <c r="I81" s="173">
        <f t="shared" si="4"/>
        <v>0.125</v>
      </c>
      <c r="J81" s="81">
        <f t="shared" si="5"/>
        <v>1</v>
      </c>
    </row>
    <row r="82" spans="1:10">
      <c r="A82" t="s">
        <v>1503</v>
      </c>
      <c r="H82" s="43">
        <f t="shared" si="3"/>
        <v>0</v>
      </c>
      <c r="I82" s="173">
        <f t="shared" si="4"/>
        <v>0</v>
      </c>
      <c r="J82" s="81" t="str">
        <f t="shared" si="5"/>
        <v/>
      </c>
    </row>
    <row r="83" spans="1:10">
      <c r="A83" t="s">
        <v>1504</v>
      </c>
      <c r="H83" s="43">
        <f t="shared" si="3"/>
        <v>0</v>
      </c>
      <c r="I83" s="173">
        <f t="shared" si="4"/>
        <v>0</v>
      </c>
      <c r="J83" s="81" t="str">
        <f t="shared" si="5"/>
        <v/>
      </c>
    </row>
    <row r="84" spans="1:10">
      <c r="A84" t="s">
        <v>1505</v>
      </c>
      <c r="B84" s="81">
        <v>1</v>
      </c>
      <c r="F84" s="81">
        <v>1</v>
      </c>
      <c r="G84" s="81">
        <v>1</v>
      </c>
      <c r="H84" s="43">
        <f t="shared" si="3"/>
        <v>3</v>
      </c>
      <c r="I84" s="173">
        <f t="shared" si="4"/>
        <v>0.375</v>
      </c>
      <c r="J84" s="81">
        <f t="shared" si="5"/>
        <v>3</v>
      </c>
    </row>
    <row r="85" spans="1:10">
      <c r="A85" t="s">
        <v>1506</v>
      </c>
      <c r="B85" s="81">
        <v>1</v>
      </c>
      <c r="F85" s="81">
        <v>1</v>
      </c>
      <c r="H85" s="43">
        <f t="shared" si="3"/>
        <v>2</v>
      </c>
      <c r="I85" s="173">
        <f t="shared" si="4"/>
        <v>0.25</v>
      </c>
      <c r="J85" s="81">
        <f t="shared" si="5"/>
        <v>2</v>
      </c>
    </row>
    <row r="86" spans="1:10">
      <c r="A86" t="s">
        <v>1507</v>
      </c>
      <c r="F86" s="81">
        <v>1</v>
      </c>
      <c r="H86" s="43">
        <f t="shared" si="3"/>
        <v>1</v>
      </c>
      <c r="I86" s="173">
        <f t="shared" si="4"/>
        <v>0.125</v>
      </c>
      <c r="J86" s="81">
        <f t="shared" si="5"/>
        <v>1</v>
      </c>
    </row>
    <row r="87" spans="1:10">
      <c r="A87" t="s">
        <v>1508</v>
      </c>
      <c r="H87" s="43">
        <f t="shared" si="3"/>
        <v>0</v>
      </c>
      <c r="I87" s="173">
        <f t="shared" si="4"/>
        <v>0</v>
      </c>
      <c r="J87" s="81" t="str">
        <f t="shared" si="5"/>
        <v/>
      </c>
    </row>
    <row r="88" spans="1:10">
      <c r="A88" t="s">
        <v>1509</v>
      </c>
      <c r="H88" s="43">
        <f t="shared" si="3"/>
        <v>0</v>
      </c>
      <c r="I88" s="173">
        <f t="shared" si="4"/>
        <v>0</v>
      </c>
      <c r="J88" s="81" t="str">
        <f t="shared" si="5"/>
        <v/>
      </c>
    </row>
    <row r="89" spans="1:10">
      <c r="A89" t="s">
        <v>1510</v>
      </c>
      <c r="F89" s="81">
        <v>1</v>
      </c>
      <c r="H89" s="43">
        <f t="shared" si="3"/>
        <v>1</v>
      </c>
      <c r="I89" s="173">
        <f t="shared" si="4"/>
        <v>0.125</v>
      </c>
      <c r="J89" s="81">
        <f t="shared" si="5"/>
        <v>1</v>
      </c>
    </row>
    <row r="90" spans="1:10">
      <c r="A90" t="s">
        <v>1511</v>
      </c>
      <c r="H90" s="43">
        <f t="shared" si="3"/>
        <v>0</v>
      </c>
      <c r="I90" s="173">
        <f t="shared" si="4"/>
        <v>0</v>
      </c>
      <c r="J90" s="81" t="str">
        <f t="shared" si="5"/>
        <v/>
      </c>
    </row>
    <row r="91" spans="1:10">
      <c r="A91" t="s">
        <v>1512</v>
      </c>
      <c r="H91" s="43">
        <f t="shared" si="3"/>
        <v>0</v>
      </c>
      <c r="I91" s="173">
        <f t="shared" si="4"/>
        <v>0</v>
      </c>
      <c r="J91" s="81" t="str">
        <f t="shared" si="5"/>
        <v/>
      </c>
    </row>
    <row r="92" spans="1:10">
      <c r="A92" t="s">
        <v>1513</v>
      </c>
      <c r="H92" s="43">
        <f t="shared" si="3"/>
        <v>0</v>
      </c>
      <c r="I92" s="173">
        <f t="shared" si="4"/>
        <v>0</v>
      </c>
      <c r="J92" s="81" t="str">
        <f t="shared" si="5"/>
        <v/>
      </c>
    </row>
    <row r="93" spans="1:10">
      <c r="A93" t="s">
        <v>1514</v>
      </c>
      <c r="C93" s="81">
        <v>1</v>
      </c>
      <c r="H93" s="43">
        <f t="shared" si="3"/>
        <v>1</v>
      </c>
      <c r="I93" s="173">
        <f t="shared" si="4"/>
        <v>0.125</v>
      </c>
      <c r="J93" s="81">
        <f t="shared" si="5"/>
        <v>1</v>
      </c>
    </row>
    <row r="94" spans="1:10">
      <c r="A94" t="s">
        <v>1515</v>
      </c>
      <c r="H94" s="43">
        <f t="shared" si="3"/>
        <v>0</v>
      </c>
      <c r="I94" s="173">
        <f t="shared" si="4"/>
        <v>0</v>
      </c>
      <c r="J94" s="81" t="str">
        <f t="shared" si="5"/>
        <v/>
      </c>
    </row>
    <row r="95" spans="1:10">
      <c r="A95" t="s">
        <v>1516</v>
      </c>
      <c r="C95" s="81">
        <v>1</v>
      </c>
      <c r="H95" s="43">
        <f t="shared" si="3"/>
        <v>1</v>
      </c>
      <c r="I95" s="173">
        <f t="shared" si="4"/>
        <v>0.125</v>
      </c>
      <c r="J95" s="81">
        <f t="shared" si="5"/>
        <v>1</v>
      </c>
    </row>
    <row r="96" spans="1:10">
      <c r="A96" t="s">
        <v>1517</v>
      </c>
      <c r="H96" s="43">
        <f t="shared" si="3"/>
        <v>0</v>
      </c>
      <c r="I96" s="173">
        <f t="shared" si="4"/>
        <v>0</v>
      </c>
      <c r="J96" s="81" t="str">
        <f t="shared" si="5"/>
        <v/>
      </c>
    </row>
    <row r="97" spans="1:10">
      <c r="A97" t="s">
        <v>1518</v>
      </c>
      <c r="H97" s="43">
        <f t="shared" si="3"/>
        <v>0</v>
      </c>
      <c r="I97" s="173">
        <f t="shared" si="4"/>
        <v>0</v>
      </c>
      <c r="J97" s="81" t="str">
        <f t="shared" si="5"/>
        <v/>
      </c>
    </row>
    <row r="98" spans="1:10">
      <c r="A98" t="s">
        <v>1519</v>
      </c>
      <c r="B98" s="81">
        <v>1</v>
      </c>
      <c r="H98" s="43">
        <f t="shared" si="3"/>
        <v>1</v>
      </c>
      <c r="I98" s="173">
        <f t="shared" si="4"/>
        <v>0.125</v>
      </c>
      <c r="J98" s="81">
        <f t="shared" si="5"/>
        <v>1</v>
      </c>
    </row>
    <row r="99" spans="1:10">
      <c r="A99" t="s">
        <v>1520</v>
      </c>
      <c r="H99" s="43">
        <f t="shared" si="3"/>
        <v>0</v>
      </c>
      <c r="I99" s="173">
        <f t="shared" si="4"/>
        <v>0</v>
      </c>
      <c r="J99" s="81" t="str">
        <f t="shared" si="5"/>
        <v/>
      </c>
    </row>
    <row r="100" spans="1:10">
      <c r="A100" t="s">
        <v>1521</v>
      </c>
      <c r="F100" s="81">
        <v>1</v>
      </c>
      <c r="H100" s="43">
        <f t="shared" si="3"/>
        <v>1</v>
      </c>
      <c r="I100" s="173">
        <f t="shared" si="4"/>
        <v>0.125</v>
      </c>
      <c r="J100" s="81">
        <f t="shared" si="5"/>
        <v>1</v>
      </c>
    </row>
    <row r="101" spans="1:10">
      <c r="A101" t="s">
        <v>1522</v>
      </c>
      <c r="H101" s="43">
        <f t="shared" si="3"/>
        <v>0</v>
      </c>
      <c r="I101" s="173">
        <f t="shared" si="4"/>
        <v>0</v>
      </c>
      <c r="J101" s="81" t="str">
        <f t="shared" si="5"/>
        <v/>
      </c>
    </row>
    <row r="102" spans="1:10">
      <c r="A102" t="s">
        <v>1523</v>
      </c>
      <c r="H102" s="43">
        <f t="shared" si="3"/>
        <v>0</v>
      </c>
      <c r="I102" s="173">
        <f t="shared" si="4"/>
        <v>0</v>
      </c>
      <c r="J102" s="81" t="str">
        <f t="shared" si="5"/>
        <v/>
      </c>
    </row>
    <row r="103" spans="1:10">
      <c r="A103" t="s">
        <v>580</v>
      </c>
      <c r="E103" s="81">
        <v>1</v>
      </c>
      <c r="F103" s="81">
        <v>1</v>
      </c>
      <c r="H103" s="43">
        <f t="shared" si="3"/>
        <v>2</v>
      </c>
      <c r="I103" s="173">
        <f t="shared" si="4"/>
        <v>0.25</v>
      </c>
      <c r="J103" s="81">
        <f t="shared" si="5"/>
        <v>2</v>
      </c>
    </row>
    <row r="104" spans="1:10">
      <c r="A104" t="s">
        <v>1524</v>
      </c>
      <c r="H104" s="43">
        <f t="shared" si="3"/>
        <v>0</v>
      </c>
      <c r="I104" s="173">
        <f t="shared" si="4"/>
        <v>0</v>
      </c>
      <c r="J104" s="81" t="str">
        <f t="shared" si="5"/>
        <v/>
      </c>
    </row>
    <row r="105" spans="1:10">
      <c r="A105" t="s">
        <v>1525</v>
      </c>
      <c r="F105" s="81">
        <v>1</v>
      </c>
      <c r="H105" s="43">
        <f t="shared" si="3"/>
        <v>1</v>
      </c>
      <c r="I105" s="173">
        <f t="shared" si="4"/>
        <v>0.125</v>
      </c>
      <c r="J105" s="81">
        <f t="shared" si="5"/>
        <v>1</v>
      </c>
    </row>
    <row r="106" spans="1:10">
      <c r="A106" t="s">
        <v>1526</v>
      </c>
      <c r="H106" s="43">
        <f t="shared" si="3"/>
        <v>0</v>
      </c>
      <c r="I106" s="173">
        <f t="shared" si="4"/>
        <v>0</v>
      </c>
      <c r="J106" s="81" t="str">
        <f t="shared" si="5"/>
        <v/>
      </c>
    </row>
    <row r="107" spans="1:10">
      <c r="A107" t="s">
        <v>1527</v>
      </c>
      <c r="H107" s="43">
        <f t="shared" si="3"/>
        <v>0</v>
      </c>
      <c r="I107" s="173">
        <f t="shared" si="4"/>
        <v>0</v>
      </c>
      <c r="J107" s="81" t="str">
        <f t="shared" si="5"/>
        <v/>
      </c>
    </row>
    <row r="108" spans="1:10">
      <c r="A108" t="s">
        <v>585</v>
      </c>
      <c r="E108" s="81">
        <v>1</v>
      </c>
      <c r="H108" s="43">
        <f t="shared" si="3"/>
        <v>1</v>
      </c>
      <c r="I108" s="173">
        <f t="shared" si="4"/>
        <v>0.125</v>
      </c>
      <c r="J108" s="81">
        <f t="shared" si="5"/>
        <v>1</v>
      </c>
    </row>
    <row r="109" spans="1:10">
      <c r="A109" t="s">
        <v>1528</v>
      </c>
      <c r="H109" s="43">
        <f t="shared" si="3"/>
        <v>0</v>
      </c>
      <c r="I109" s="173">
        <f t="shared" si="4"/>
        <v>0</v>
      </c>
      <c r="J109" s="81" t="str">
        <f t="shared" si="5"/>
        <v/>
      </c>
    </row>
    <row r="110" spans="1:10">
      <c r="A110" t="s">
        <v>1529</v>
      </c>
      <c r="H110" s="43">
        <f t="shared" si="3"/>
        <v>0</v>
      </c>
      <c r="I110" s="173">
        <f t="shared" si="4"/>
        <v>0</v>
      </c>
      <c r="J110" s="81" t="str">
        <f t="shared" si="5"/>
        <v/>
      </c>
    </row>
    <row r="111" spans="1:10">
      <c r="A111" t="s">
        <v>1530</v>
      </c>
      <c r="H111" s="43">
        <f t="shared" si="3"/>
        <v>0</v>
      </c>
      <c r="I111" s="173">
        <f t="shared" si="4"/>
        <v>0</v>
      </c>
      <c r="J111" s="81" t="str">
        <f t="shared" si="5"/>
        <v/>
      </c>
    </row>
    <row r="112" spans="1:10">
      <c r="A112" t="s">
        <v>588</v>
      </c>
      <c r="H112" s="43">
        <f t="shared" si="3"/>
        <v>0</v>
      </c>
      <c r="I112" s="173">
        <f t="shared" si="4"/>
        <v>0</v>
      </c>
      <c r="J112" s="81" t="str">
        <f t="shared" si="5"/>
        <v/>
      </c>
    </row>
    <row r="113" spans="1:10">
      <c r="A113" t="s">
        <v>1531</v>
      </c>
      <c r="F113" s="81">
        <v>1</v>
      </c>
      <c r="H113" s="43">
        <f t="shared" si="3"/>
        <v>1</v>
      </c>
      <c r="I113" s="173">
        <f t="shared" si="4"/>
        <v>0.125</v>
      </c>
      <c r="J113" s="81">
        <f t="shared" si="5"/>
        <v>1</v>
      </c>
    </row>
    <row r="114" spans="1:10">
      <c r="A114" t="s">
        <v>1532</v>
      </c>
      <c r="H114" s="43">
        <f t="shared" si="3"/>
        <v>0</v>
      </c>
      <c r="I114" s="173">
        <f t="shared" si="4"/>
        <v>0</v>
      </c>
      <c r="J114" s="81" t="str">
        <f t="shared" si="5"/>
        <v/>
      </c>
    </row>
    <row r="115" spans="1:10">
      <c r="A115" t="s">
        <v>1533</v>
      </c>
      <c r="H115" s="43">
        <f t="shared" si="3"/>
        <v>0</v>
      </c>
      <c r="I115" s="173">
        <f t="shared" si="4"/>
        <v>0</v>
      </c>
      <c r="J115" s="81" t="str">
        <f t="shared" si="5"/>
        <v/>
      </c>
    </row>
    <row r="116" spans="1:10">
      <c r="A116" t="s">
        <v>1534</v>
      </c>
      <c r="H116" s="43">
        <f t="shared" si="3"/>
        <v>0</v>
      </c>
      <c r="I116" s="173">
        <f t="shared" si="4"/>
        <v>0</v>
      </c>
      <c r="J116" s="81" t="str">
        <f t="shared" si="5"/>
        <v/>
      </c>
    </row>
    <row r="117" spans="1:10">
      <c r="A117" t="s">
        <v>1535</v>
      </c>
      <c r="H117" s="43">
        <f t="shared" si="3"/>
        <v>0</v>
      </c>
      <c r="I117" s="173">
        <f t="shared" si="4"/>
        <v>0</v>
      </c>
      <c r="J117" s="81" t="str">
        <f t="shared" si="5"/>
        <v/>
      </c>
    </row>
    <row r="118" spans="1:10">
      <c r="A118" t="s">
        <v>1536</v>
      </c>
      <c r="H118" s="43">
        <f t="shared" si="3"/>
        <v>0</v>
      </c>
      <c r="I118" s="173">
        <f t="shared" si="4"/>
        <v>0</v>
      </c>
      <c r="J118" s="81" t="str">
        <f t="shared" si="5"/>
        <v/>
      </c>
    </row>
    <row r="119" spans="1:10">
      <c r="A119" t="s">
        <v>1537</v>
      </c>
      <c r="C119" s="81">
        <v>1</v>
      </c>
      <c r="D119" s="81">
        <v>1</v>
      </c>
      <c r="E119" s="81">
        <v>1</v>
      </c>
      <c r="F119" s="81">
        <v>1</v>
      </c>
      <c r="H119" s="43">
        <f t="shared" si="3"/>
        <v>4</v>
      </c>
      <c r="I119" s="173">
        <f t="shared" si="4"/>
        <v>0.5</v>
      </c>
      <c r="J119" s="81">
        <f t="shared" si="5"/>
        <v>4</v>
      </c>
    </row>
    <row r="120" spans="1:10">
      <c r="A120" t="s">
        <v>594</v>
      </c>
      <c r="H120" s="43">
        <f t="shared" si="3"/>
        <v>0</v>
      </c>
      <c r="I120" s="173">
        <f t="shared" si="4"/>
        <v>0</v>
      </c>
      <c r="J120" s="81" t="str">
        <f t="shared" si="5"/>
        <v/>
      </c>
    </row>
    <row r="121" spans="1:10">
      <c r="A121" t="s">
        <v>1538</v>
      </c>
      <c r="F121" s="81">
        <v>1</v>
      </c>
      <c r="H121" s="43">
        <f t="shared" si="3"/>
        <v>1</v>
      </c>
      <c r="I121" s="173">
        <f t="shared" si="4"/>
        <v>0.125</v>
      </c>
      <c r="J121" s="81">
        <f t="shared" si="5"/>
        <v>1</v>
      </c>
    </row>
    <row r="122" spans="1:10">
      <c r="A122" t="s">
        <v>1539</v>
      </c>
      <c r="H122" s="43">
        <f t="shared" si="3"/>
        <v>0</v>
      </c>
      <c r="I122" s="173">
        <f t="shared" si="4"/>
        <v>0</v>
      </c>
      <c r="J122" s="81" t="str">
        <f t="shared" si="5"/>
        <v/>
      </c>
    </row>
    <row r="123" spans="1:10">
      <c r="A123" t="s">
        <v>1540</v>
      </c>
      <c r="H123" s="43">
        <f t="shared" si="3"/>
        <v>0</v>
      </c>
      <c r="I123" s="173">
        <f t="shared" si="4"/>
        <v>0</v>
      </c>
      <c r="J123" s="81" t="str">
        <f t="shared" si="5"/>
        <v/>
      </c>
    </row>
    <row r="124" spans="1:10">
      <c r="A124" t="s">
        <v>1541</v>
      </c>
      <c r="F124" s="81">
        <v>1</v>
      </c>
      <c r="H124" s="43">
        <f t="shared" si="3"/>
        <v>1</v>
      </c>
      <c r="I124" s="173">
        <f t="shared" si="4"/>
        <v>0.125</v>
      </c>
      <c r="J124" s="81">
        <f t="shared" si="5"/>
        <v>1</v>
      </c>
    </row>
    <row r="125" spans="1:10">
      <c r="A125" t="s">
        <v>1542</v>
      </c>
      <c r="H125" s="43">
        <f t="shared" si="3"/>
        <v>0</v>
      </c>
      <c r="I125" s="173">
        <f t="shared" si="4"/>
        <v>0</v>
      </c>
      <c r="J125" s="81" t="str">
        <f t="shared" si="5"/>
        <v/>
      </c>
    </row>
    <row r="126" spans="1:10">
      <c r="A126" t="s">
        <v>1543</v>
      </c>
      <c r="B126" s="81">
        <v>1</v>
      </c>
      <c r="C126" s="81">
        <v>1</v>
      </c>
      <c r="D126" s="81">
        <v>1</v>
      </c>
      <c r="H126" s="43">
        <f t="shared" si="3"/>
        <v>3</v>
      </c>
      <c r="I126" s="173">
        <f t="shared" si="4"/>
        <v>0.375</v>
      </c>
      <c r="J126" s="81">
        <f t="shared" si="5"/>
        <v>3</v>
      </c>
    </row>
    <row r="127" spans="1:10">
      <c r="A127" t="s">
        <v>600</v>
      </c>
      <c r="H127" s="43">
        <f t="shared" si="3"/>
        <v>0</v>
      </c>
      <c r="I127" s="173">
        <f t="shared" si="4"/>
        <v>0</v>
      </c>
      <c r="J127" s="81" t="str">
        <f t="shared" si="5"/>
        <v/>
      </c>
    </row>
    <row r="128" spans="1:10">
      <c r="A128" t="s">
        <v>1544</v>
      </c>
      <c r="H128" s="43">
        <f t="shared" si="3"/>
        <v>0</v>
      </c>
      <c r="I128" s="173">
        <f t="shared" si="4"/>
        <v>0</v>
      </c>
      <c r="J128" s="81" t="str">
        <f t="shared" si="5"/>
        <v/>
      </c>
    </row>
    <row r="129" spans="1:10">
      <c r="A129" t="s">
        <v>1545</v>
      </c>
      <c r="H129" s="43">
        <f t="shared" si="3"/>
        <v>0</v>
      </c>
      <c r="I129" s="173">
        <f t="shared" si="4"/>
        <v>0</v>
      </c>
      <c r="J129" s="81" t="str">
        <f t="shared" si="5"/>
        <v/>
      </c>
    </row>
    <row r="130" spans="1:10">
      <c r="A130" t="s">
        <v>1546</v>
      </c>
      <c r="E130" s="81">
        <v>1</v>
      </c>
      <c r="H130" s="43">
        <f t="shared" ref="H130:H193" si="6">SUM(B130:G130)</f>
        <v>1</v>
      </c>
      <c r="I130" s="173">
        <f t="shared" si="4"/>
        <v>0.125</v>
      </c>
      <c r="J130" s="81">
        <f t="shared" si="5"/>
        <v>1</v>
      </c>
    </row>
    <row r="131" spans="1:10">
      <c r="A131" t="s">
        <v>1547</v>
      </c>
      <c r="F131" s="81">
        <v>1</v>
      </c>
      <c r="H131" s="43">
        <f t="shared" si="6"/>
        <v>1</v>
      </c>
      <c r="I131" s="173">
        <f t="shared" ref="I131:I193" si="7">+H131/8</f>
        <v>0.125</v>
      </c>
      <c r="J131" s="81">
        <f t="shared" ref="J131:J194" si="8">+IF(H131=6,6,IF(H131=5,5,IF(H131=4,4,IF(H131=3,3,IF(H131=2,2,IF(H131=1,1,""))))))</f>
        <v>1</v>
      </c>
    </row>
    <row r="132" spans="1:10">
      <c r="A132" t="s">
        <v>1548</v>
      </c>
      <c r="F132" s="81">
        <v>1</v>
      </c>
      <c r="H132" s="43">
        <f t="shared" si="6"/>
        <v>1</v>
      </c>
      <c r="I132" s="173">
        <f t="shared" si="7"/>
        <v>0.125</v>
      </c>
      <c r="J132" s="81">
        <f t="shared" si="8"/>
        <v>1</v>
      </c>
    </row>
    <row r="133" spans="1:10">
      <c r="A133" t="s">
        <v>1549</v>
      </c>
      <c r="E133" s="81">
        <v>1</v>
      </c>
      <c r="H133" s="43">
        <f t="shared" si="6"/>
        <v>1</v>
      </c>
      <c r="I133" s="173">
        <f t="shared" si="7"/>
        <v>0.125</v>
      </c>
      <c r="J133" s="81">
        <f t="shared" si="8"/>
        <v>1</v>
      </c>
    </row>
    <row r="134" spans="1:10">
      <c r="A134" t="s">
        <v>1550</v>
      </c>
      <c r="B134" s="81">
        <v>1</v>
      </c>
      <c r="F134" s="81">
        <v>1</v>
      </c>
      <c r="H134" s="43">
        <f t="shared" si="6"/>
        <v>2</v>
      </c>
      <c r="I134" s="173">
        <f t="shared" si="7"/>
        <v>0.25</v>
      </c>
      <c r="J134" s="81">
        <f t="shared" si="8"/>
        <v>2</v>
      </c>
    </row>
    <row r="135" spans="1:10">
      <c r="A135" t="s">
        <v>606</v>
      </c>
      <c r="H135" s="43">
        <f t="shared" si="6"/>
        <v>0</v>
      </c>
      <c r="I135" s="173">
        <f t="shared" si="7"/>
        <v>0</v>
      </c>
      <c r="J135" s="81" t="str">
        <f t="shared" si="8"/>
        <v/>
      </c>
    </row>
    <row r="136" spans="1:10">
      <c r="A136" t="s">
        <v>1551</v>
      </c>
      <c r="H136" s="43">
        <f t="shared" si="6"/>
        <v>0</v>
      </c>
      <c r="I136" s="173">
        <f t="shared" si="7"/>
        <v>0</v>
      </c>
      <c r="J136" s="81" t="str">
        <f t="shared" si="8"/>
        <v/>
      </c>
    </row>
    <row r="137" spans="1:10">
      <c r="A137" t="s">
        <v>1552</v>
      </c>
      <c r="E137" s="81">
        <v>1</v>
      </c>
      <c r="H137" s="43">
        <f t="shared" si="6"/>
        <v>1</v>
      </c>
      <c r="I137" s="173">
        <f t="shared" si="7"/>
        <v>0.125</v>
      </c>
      <c r="J137" s="81">
        <f t="shared" si="8"/>
        <v>1</v>
      </c>
    </row>
    <row r="138" spans="1:10">
      <c r="A138" t="s">
        <v>1553</v>
      </c>
      <c r="H138" s="43">
        <f t="shared" si="6"/>
        <v>0</v>
      </c>
      <c r="I138" s="173">
        <f t="shared" si="7"/>
        <v>0</v>
      </c>
      <c r="J138" s="81" t="str">
        <f t="shared" si="8"/>
        <v/>
      </c>
    </row>
    <row r="139" spans="1:10">
      <c r="A139" t="s">
        <v>1554</v>
      </c>
      <c r="H139" s="43">
        <f t="shared" si="6"/>
        <v>0</v>
      </c>
      <c r="I139" s="173">
        <f t="shared" si="7"/>
        <v>0</v>
      </c>
      <c r="J139" s="81" t="str">
        <f t="shared" si="8"/>
        <v/>
      </c>
    </row>
    <row r="140" spans="1:10">
      <c r="A140" t="s">
        <v>1555</v>
      </c>
      <c r="B140" s="81">
        <v>1</v>
      </c>
      <c r="H140" s="43">
        <f t="shared" si="6"/>
        <v>1</v>
      </c>
      <c r="I140" s="173">
        <f t="shared" si="7"/>
        <v>0.125</v>
      </c>
      <c r="J140" s="81">
        <f t="shared" si="8"/>
        <v>1</v>
      </c>
    </row>
    <row r="141" spans="1:10">
      <c r="A141" t="s">
        <v>1556</v>
      </c>
      <c r="F141" s="81">
        <v>1</v>
      </c>
      <c r="H141" s="43">
        <f t="shared" si="6"/>
        <v>1</v>
      </c>
      <c r="I141" s="173">
        <f t="shared" si="7"/>
        <v>0.125</v>
      </c>
      <c r="J141" s="81">
        <f t="shared" si="8"/>
        <v>1</v>
      </c>
    </row>
    <row r="142" spans="1:10">
      <c r="A142" t="s">
        <v>1557</v>
      </c>
      <c r="C142" s="81">
        <v>1</v>
      </c>
      <c r="F142" s="81">
        <v>1</v>
      </c>
      <c r="H142" s="43">
        <f t="shared" si="6"/>
        <v>2</v>
      </c>
      <c r="I142" s="173">
        <f t="shared" si="7"/>
        <v>0.25</v>
      </c>
      <c r="J142" s="81">
        <f t="shared" si="8"/>
        <v>2</v>
      </c>
    </row>
    <row r="143" spans="1:10">
      <c r="A143" t="s">
        <v>1558</v>
      </c>
      <c r="F143" s="81">
        <v>1</v>
      </c>
      <c r="H143" s="43">
        <f t="shared" si="6"/>
        <v>1</v>
      </c>
      <c r="I143" s="173">
        <f t="shared" si="7"/>
        <v>0.125</v>
      </c>
      <c r="J143" s="81">
        <f t="shared" si="8"/>
        <v>1</v>
      </c>
    </row>
    <row r="144" spans="1:10">
      <c r="A144" t="s">
        <v>1559</v>
      </c>
      <c r="F144" s="81">
        <v>1</v>
      </c>
      <c r="H144" s="43">
        <f t="shared" si="6"/>
        <v>1</v>
      </c>
      <c r="I144" s="173">
        <f t="shared" si="7"/>
        <v>0.125</v>
      </c>
      <c r="J144" s="81">
        <f t="shared" si="8"/>
        <v>1</v>
      </c>
    </row>
    <row r="145" spans="1:10">
      <c r="A145" t="s">
        <v>1560</v>
      </c>
      <c r="H145" s="43">
        <f t="shared" si="6"/>
        <v>0</v>
      </c>
      <c r="I145" s="173">
        <f t="shared" si="7"/>
        <v>0</v>
      </c>
      <c r="J145" s="81" t="str">
        <f t="shared" si="8"/>
        <v/>
      </c>
    </row>
    <row r="146" spans="1:10">
      <c r="A146" t="s">
        <v>1561</v>
      </c>
      <c r="F146" s="81">
        <v>1</v>
      </c>
      <c r="H146" s="43">
        <f t="shared" si="6"/>
        <v>1</v>
      </c>
      <c r="I146" s="173">
        <f t="shared" si="7"/>
        <v>0.125</v>
      </c>
      <c r="J146" s="81">
        <f t="shared" si="8"/>
        <v>1</v>
      </c>
    </row>
    <row r="147" spans="1:10">
      <c r="A147" t="s">
        <v>1562</v>
      </c>
      <c r="F147" s="81">
        <v>1</v>
      </c>
      <c r="H147" s="43">
        <f t="shared" si="6"/>
        <v>1</v>
      </c>
      <c r="I147" s="173">
        <f t="shared" si="7"/>
        <v>0.125</v>
      </c>
      <c r="J147" s="81">
        <f t="shared" si="8"/>
        <v>1</v>
      </c>
    </row>
    <row r="148" spans="1:10">
      <c r="A148" t="s">
        <v>1563</v>
      </c>
      <c r="H148" s="43">
        <f t="shared" si="6"/>
        <v>0</v>
      </c>
      <c r="I148" s="173">
        <f t="shared" si="7"/>
        <v>0</v>
      </c>
      <c r="J148" s="81" t="str">
        <f t="shared" si="8"/>
        <v/>
      </c>
    </row>
    <row r="149" spans="1:10">
      <c r="A149" t="s">
        <v>1564</v>
      </c>
      <c r="F149" s="81">
        <v>1</v>
      </c>
      <c r="H149" s="43">
        <f t="shared" si="6"/>
        <v>1</v>
      </c>
      <c r="I149" s="173">
        <f t="shared" si="7"/>
        <v>0.125</v>
      </c>
      <c r="J149" s="81">
        <f t="shared" si="8"/>
        <v>1</v>
      </c>
    </row>
    <row r="150" spans="1:10">
      <c r="A150" t="s">
        <v>1565</v>
      </c>
      <c r="H150" s="43">
        <f t="shared" si="6"/>
        <v>0</v>
      </c>
      <c r="I150" s="173">
        <f t="shared" si="7"/>
        <v>0</v>
      </c>
      <c r="J150" s="81" t="str">
        <f t="shared" si="8"/>
        <v/>
      </c>
    </row>
    <row r="151" spans="1:10">
      <c r="A151" t="s">
        <v>629</v>
      </c>
      <c r="H151" s="43">
        <f t="shared" si="6"/>
        <v>0</v>
      </c>
      <c r="I151" s="173">
        <f t="shared" si="7"/>
        <v>0</v>
      </c>
      <c r="J151" s="81" t="str">
        <f t="shared" si="8"/>
        <v/>
      </c>
    </row>
    <row r="152" spans="1:10">
      <c r="A152" t="s">
        <v>1566</v>
      </c>
      <c r="H152" s="43">
        <f t="shared" si="6"/>
        <v>0</v>
      </c>
      <c r="I152" s="173">
        <f t="shared" si="7"/>
        <v>0</v>
      </c>
      <c r="J152" s="81" t="str">
        <f t="shared" si="8"/>
        <v/>
      </c>
    </row>
    <row r="153" spans="1:10">
      <c r="A153" t="s">
        <v>1567</v>
      </c>
      <c r="H153" s="43">
        <f t="shared" si="6"/>
        <v>0</v>
      </c>
      <c r="I153" s="173">
        <f t="shared" si="7"/>
        <v>0</v>
      </c>
      <c r="J153" s="81" t="str">
        <f t="shared" si="8"/>
        <v/>
      </c>
    </row>
    <row r="154" spans="1:10">
      <c r="A154" t="s">
        <v>1568</v>
      </c>
      <c r="H154" s="43">
        <f t="shared" si="6"/>
        <v>0</v>
      </c>
      <c r="I154" s="173">
        <f t="shared" si="7"/>
        <v>0</v>
      </c>
      <c r="J154" s="81" t="str">
        <f t="shared" si="8"/>
        <v/>
      </c>
    </row>
    <row r="155" spans="1:10">
      <c r="A155" t="s">
        <v>1569</v>
      </c>
      <c r="H155" s="43">
        <f t="shared" si="6"/>
        <v>0</v>
      </c>
      <c r="I155" s="173">
        <f t="shared" si="7"/>
        <v>0</v>
      </c>
      <c r="J155" s="81" t="str">
        <f t="shared" si="8"/>
        <v/>
      </c>
    </row>
    <row r="156" spans="1:10">
      <c r="A156" t="s">
        <v>1570</v>
      </c>
      <c r="H156" s="43">
        <f t="shared" si="6"/>
        <v>0</v>
      </c>
      <c r="I156" s="173">
        <f t="shared" si="7"/>
        <v>0</v>
      </c>
      <c r="J156" s="81" t="str">
        <f t="shared" si="8"/>
        <v/>
      </c>
    </row>
    <row r="157" spans="1:10">
      <c r="A157" t="s">
        <v>1571</v>
      </c>
      <c r="E157" s="81">
        <v>1</v>
      </c>
      <c r="H157" s="43">
        <f t="shared" si="6"/>
        <v>1</v>
      </c>
      <c r="I157" s="173">
        <f t="shared" si="7"/>
        <v>0.125</v>
      </c>
      <c r="J157" s="81">
        <f t="shared" si="8"/>
        <v>1</v>
      </c>
    </row>
    <row r="158" spans="1:10">
      <c r="A158" t="s">
        <v>635</v>
      </c>
      <c r="F158" s="81">
        <v>1</v>
      </c>
      <c r="H158" s="43">
        <f t="shared" si="6"/>
        <v>1</v>
      </c>
      <c r="I158" s="173">
        <f t="shared" si="7"/>
        <v>0.125</v>
      </c>
      <c r="J158" s="81">
        <f t="shared" si="8"/>
        <v>1</v>
      </c>
    </row>
    <row r="159" spans="1:10">
      <c r="A159" t="s">
        <v>1572</v>
      </c>
      <c r="H159" s="43">
        <f t="shared" si="6"/>
        <v>0</v>
      </c>
      <c r="I159" s="173">
        <f t="shared" si="7"/>
        <v>0</v>
      </c>
      <c r="J159" s="81" t="str">
        <f t="shared" si="8"/>
        <v/>
      </c>
    </row>
    <row r="160" spans="1:10">
      <c r="A160" t="s">
        <v>1573</v>
      </c>
      <c r="H160" s="43">
        <f t="shared" si="6"/>
        <v>0</v>
      </c>
      <c r="I160" s="173">
        <f t="shared" si="7"/>
        <v>0</v>
      </c>
      <c r="J160" s="81" t="str">
        <f t="shared" si="8"/>
        <v/>
      </c>
    </row>
    <row r="161" spans="1:10">
      <c r="A161" t="s">
        <v>638</v>
      </c>
      <c r="H161" s="43">
        <f t="shared" si="6"/>
        <v>0</v>
      </c>
      <c r="I161" s="173">
        <f t="shared" si="7"/>
        <v>0</v>
      </c>
      <c r="J161" s="81" t="str">
        <f t="shared" si="8"/>
        <v/>
      </c>
    </row>
    <row r="162" spans="1:10">
      <c r="A162" t="s">
        <v>639</v>
      </c>
      <c r="B162" s="81">
        <v>1</v>
      </c>
      <c r="E162" s="81">
        <v>1</v>
      </c>
      <c r="F162" s="81">
        <v>1</v>
      </c>
      <c r="G162" s="81">
        <v>1</v>
      </c>
      <c r="H162" s="43">
        <f t="shared" si="6"/>
        <v>4</v>
      </c>
      <c r="I162" s="173">
        <f t="shared" si="7"/>
        <v>0.5</v>
      </c>
      <c r="J162" s="81">
        <f t="shared" si="8"/>
        <v>4</v>
      </c>
    </row>
    <row r="163" spans="1:10">
      <c r="A163" t="s">
        <v>1574</v>
      </c>
      <c r="E163" s="81">
        <v>1</v>
      </c>
      <c r="F163" s="81">
        <v>1</v>
      </c>
      <c r="H163" s="43">
        <f t="shared" si="6"/>
        <v>2</v>
      </c>
      <c r="I163" s="173">
        <f t="shared" si="7"/>
        <v>0.25</v>
      </c>
      <c r="J163" s="81">
        <f t="shared" si="8"/>
        <v>2</v>
      </c>
    </row>
    <row r="164" spans="1:10">
      <c r="A164" t="s">
        <v>1575</v>
      </c>
      <c r="H164" s="43">
        <f t="shared" si="6"/>
        <v>0</v>
      </c>
      <c r="I164" s="173">
        <f t="shared" si="7"/>
        <v>0</v>
      </c>
      <c r="J164" s="81" t="str">
        <f t="shared" si="8"/>
        <v/>
      </c>
    </row>
    <row r="165" spans="1:10">
      <c r="A165" t="s">
        <v>1576</v>
      </c>
      <c r="H165" s="43">
        <f t="shared" si="6"/>
        <v>0</v>
      </c>
      <c r="I165" s="173">
        <f t="shared" si="7"/>
        <v>0</v>
      </c>
      <c r="J165" s="81" t="str">
        <f t="shared" si="8"/>
        <v/>
      </c>
    </row>
    <row r="166" spans="1:10">
      <c r="A166" t="s">
        <v>1577</v>
      </c>
      <c r="E166" s="81">
        <v>1</v>
      </c>
      <c r="F166" s="81">
        <v>1</v>
      </c>
      <c r="G166" s="81">
        <v>1</v>
      </c>
      <c r="H166" s="43">
        <f t="shared" si="6"/>
        <v>3</v>
      </c>
      <c r="I166" s="173">
        <f t="shared" si="7"/>
        <v>0.375</v>
      </c>
      <c r="J166" s="81">
        <f t="shared" si="8"/>
        <v>3</v>
      </c>
    </row>
    <row r="167" spans="1:10">
      <c r="A167" t="s">
        <v>1577</v>
      </c>
      <c r="E167" s="81">
        <v>1</v>
      </c>
      <c r="F167" s="81">
        <v>1</v>
      </c>
      <c r="H167" s="43">
        <f t="shared" si="6"/>
        <v>2</v>
      </c>
      <c r="I167" s="173">
        <f t="shared" si="7"/>
        <v>0.25</v>
      </c>
      <c r="J167" s="81">
        <f t="shared" si="8"/>
        <v>2</v>
      </c>
    </row>
    <row r="168" spans="1:10">
      <c r="A168" t="s">
        <v>1578</v>
      </c>
      <c r="H168" s="43">
        <f t="shared" si="6"/>
        <v>0</v>
      </c>
      <c r="I168" s="173">
        <f t="shared" si="7"/>
        <v>0</v>
      </c>
      <c r="J168" s="81" t="str">
        <f t="shared" si="8"/>
        <v/>
      </c>
    </row>
    <row r="169" spans="1:10">
      <c r="A169" t="s">
        <v>646</v>
      </c>
      <c r="H169" s="43">
        <f t="shared" si="6"/>
        <v>0</v>
      </c>
      <c r="I169" s="173">
        <f t="shared" si="7"/>
        <v>0</v>
      </c>
      <c r="J169" s="81" t="str">
        <f t="shared" si="8"/>
        <v/>
      </c>
    </row>
    <row r="170" spans="1:10">
      <c r="A170" t="s">
        <v>1579</v>
      </c>
      <c r="F170" s="81">
        <v>1</v>
      </c>
      <c r="H170" s="43">
        <f t="shared" si="6"/>
        <v>1</v>
      </c>
      <c r="I170" s="173">
        <f t="shared" si="7"/>
        <v>0.125</v>
      </c>
      <c r="J170" s="81">
        <f t="shared" si="8"/>
        <v>1</v>
      </c>
    </row>
    <row r="171" spans="1:10">
      <c r="A171" t="s">
        <v>1580</v>
      </c>
      <c r="H171" s="43">
        <f t="shared" si="6"/>
        <v>0</v>
      </c>
      <c r="I171" s="173">
        <f t="shared" si="7"/>
        <v>0</v>
      </c>
      <c r="J171" s="81" t="str">
        <f t="shared" si="8"/>
        <v/>
      </c>
    </row>
    <row r="172" spans="1:10">
      <c r="A172" t="s">
        <v>1581</v>
      </c>
      <c r="H172" s="43">
        <f t="shared" si="6"/>
        <v>0</v>
      </c>
      <c r="I172" s="173">
        <f t="shared" si="7"/>
        <v>0</v>
      </c>
      <c r="J172" s="81" t="str">
        <f t="shared" si="8"/>
        <v/>
      </c>
    </row>
    <row r="173" spans="1:10">
      <c r="A173" t="s">
        <v>1582</v>
      </c>
      <c r="H173" s="43">
        <f t="shared" si="6"/>
        <v>0</v>
      </c>
      <c r="I173" s="173">
        <f t="shared" si="7"/>
        <v>0</v>
      </c>
      <c r="J173" s="81" t="str">
        <f t="shared" si="8"/>
        <v/>
      </c>
    </row>
    <row r="174" spans="1:10">
      <c r="A174" t="s">
        <v>1583</v>
      </c>
      <c r="C174" s="81">
        <v>1</v>
      </c>
      <c r="H174" s="43">
        <f t="shared" si="6"/>
        <v>1</v>
      </c>
      <c r="I174" s="173">
        <f t="shared" si="7"/>
        <v>0.125</v>
      </c>
      <c r="J174" s="81">
        <f t="shared" si="8"/>
        <v>1</v>
      </c>
    </row>
    <row r="175" spans="1:10">
      <c r="A175" t="s">
        <v>1584</v>
      </c>
      <c r="H175" s="43">
        <f t="shared" si="6"/>
        <v>0</v>
      </c>
      <c r="I175" s="173">
        <f t="shared" si="7"/>
        <v>0</v>
      </c>
      <c r="J175" s="81" t="str">
        <f t="shared" si="8"/>
        <v/>
      </c>
    </row>
    <row r="176" spans="1:10">
      <c r="A176" t="s">
        <v>1585</v>
      </c>
      <c r="H176" s="43">
        <f t="shared" si="6"/>
        <v>0</v>
      </c>
      <c r="I176" s="173">
        <f t="shared" si="7"/>
        <v>0</v>
      </c>
      <c r="J176" s="81" t="str">
        <f t="shared" si="8"/>
        <v/>
      </c>
    </row>
    <row r="177" spans="1:10">
      <c r="A177" t="s">
        <v>1586</v>
      </c>
      <c r="H177" s="43">
        <f t="shared" si="6"/>
        <v>0</v>
      </c>
      <c r="I177" s="173">
        <f t="shared" si="7"/>
        <v>0</v>
      </c>
      <c r="J177" s="81" t="str">
        <f t="shared" si="8"/>
        <v/>
      </c>
    </row>
    <row r="178" spans="1:10">
      <c r="A178" t="s">
        <v>1587</v>
      </c>
      <c r="H178" s="43">
        <f t="shared" si="6"/>
        <v>0</v>
      </c>
      <c r="I178" s="173">
        <f t="shared" si="7"/>
        <v>0</v>
      </c>
      <c r="J178" s="81" t="str">
        <f t="shared" si="8"/>
        <v/>
      </c>
    </row>
    <row r="179" spans="1:10">
      <c r="A179" t="s">
        <v>1588</v>
      </c>
      <c r="H179" s="43">
        <f t="shared" si="6"/>
        <v>0</v>
      </c>
      <c r="I179" s="173">
        <f t="shared" si="7"/>
        <v>0</v>
      </c>
      <c r="J179" s="81" t="str">
        <f t="shared" si="8"/>
        <v/>
      </c>
    </row>
    <row r="180" spans="1:10">
      <c r="A180" t="s">
        <v>1589</v>
      </c>
      <c r="F180" s="81">
        <v>1</v>
      </c>
      <c r="H180" s="43">
        <f t="shared" si="6"/>
        <v>1</v>
      </c>
      <c r="I180" s="173">
        <f t="shared" si="7"/>
        <v>0.125</v>
      </c>
      <c r="J180" s="81">
        <f t="shared" si="8"/>
        <v>1</v>
      </c>
    </row>
    <row r="181" spans="1:10">
      <c r="A181" t="s">
        <v>1590</v>
      </c>
      <c r="F181" s="81">
        <v>1</v>
      </c>
      <c r="H181" s="43">
        <f t="shared" si="6"/>
        <v>1</v>
      </c>
      <c r="I181" s="173">
        <f t="shared" si="7"/>
        <v>0.125</v>
      </c>
      <c r="J181" s="81">
        <f t="shared" si="8"/>
        <v>1</v>
      </c>
    </row>
    <row r="182" spans="1:10">
      <c r="A182" t="s">
        <v>1591</v>
      </c>
      <c r="H182" s="43">
        <f t="shared" si="6"/>
        <v>0</v>
      </c>
      <c r="I182" s="173">
        <f t="shared" si="7"/>
        <v>0</v>
      </c>
      <c r="J182" s="81" t="str">
        <f t="shared" si="8"/>
        <v/>
      </c>
    </row>
    <row r="183" spans="1:10">
      <c r="A183" t="s">
        <v>1592</v>
      </c>
      <c r="E183" s="81">
        <v>1</v>
      </c>
      <c r="H183" s="43">
        <f t="shared" si="6"/>
        <v>1</v>
      </c>
      <c r="I183" s="173">
        <f t="shared" si="7"/>
        <v>0.125</v>
      </c>
      <c r="J183" s="81">
        <f t="shared" si="8"/>
        <v>1</v>
      </c>
    </row>
    <row r="184" spans="1:10">
      <c r="A184" t="s">
        <v>1593</v>
      </c>
      <c r="B184" s="81">
        <v>1</v>
      </c>
      <c r="E184" s="81">
        <v>1</v>
      </c>
      <c r="H184" s="43">
        <f t="shared" si="6"/>
        <v>2</v>
      </c>
      <c r="I184" s="173">
        <f t="shared" si="7"/>
        <v>0.25</v>
      </c>
      <c r="J184" s="81">
        <f t="shared" si="8"/>
        <v>2</v>
      </c>
    </row>
    <row r="185" spans="1:10">
      <c r="A185" t="s">
        <v>1594</v>
      </c>
      <c r="H185" s="43">
        <f t="shared" si="6"/>
        <v>0</v>
      </c>
      <c r="I185" s="173">
        <f t="shared" si="7"/>
        <v>0</v>
      </c>
      <c r="J185" s="81" t="str">
        <f t="shared" si="8"/>
        <v/>
      </c>
    </row>
    <row r="186" spans="1:10">
      <c r="A186" t="s">
        <v>1595</v>
      </c>
      <c r="C186" s="81">
        <v>1</v>
      </c>
      <c r="F186" s="81">
        <v>1</v>
      </c>
      <c r="H186" s="43">
        <f t="shared" si="6"/>
        <v>2</v>
      </c>
      <c r="I186" s="173">
        <f t="shared" si="7"/>
        <v>0.25</v>
      </c>
      <c r="J186" s="81">
        <f t="shared" si="8"/>
        <v>2</v>
      </c>
    </row>
    <row r="187" spans="1:10">
      <c r="A187" t="s">
        <v>1596</v>
      </c>
      <c r="B187" s="81">
        <v>1</v>
      </c>
      <c r="H187" s="43">
        <f t="shared" si="6"/>
        <v>1</v>
      </c>
      <c r="I187" s="173">
        <f t="shared" si="7"/>
        <v>0.125</v>
      </c>
      <c r="J187" s="81">
        <f t="shared" si="8"/>
        <v>1</v>
      </c>
    </row>
    <row r="188" spans="1:10">
      <c r="A188" t="s">
        <v>1597</v>
      </c>
      <c r="C188" s="81">
        <v>1</v>
      </c>
      <c r="D188" s="81">
        <v>1</v>
      </c>
      <c r="E188" s="81">
        <v>1</v>
      </c>
      <c r="F188" s="81">
        <v>1</v>
      </c>
      <c r="H188" s="43">
        <f t="shared" si="6"/>
        <v>4</v>
      </c>
      <c r="I188" s="173">
        <f t="shared" si="7"/>
        <v>0.5</v>
      </c>
      <c r="J188" s="81">
        <f t="shared" si="8"/>
        <v>4</v>
      </c>
    </row>
    <row r="189" spans="1:10">
      <c r="A189" t="s">
        <v>1598</v>
      </c>
      <c r="H189" s="43">
        <f t="shared" si="6"/>
        <v>0</v>
      </c>
      <c r="I189" s="173">
        <f t="shared" si="7"/>
        <v>0</v>
      </c>
      <c r="J189" s="81" t="str">
        <f t="shared" si="8"/>
        <v/>
      </c>
    </row>
    <row r="190" spans="1:10">
      <c r="A190" t="s">
        <v>1599</v>
      </c>
      <c r="B190" s="81">
        <v>1</v>
      </c>
      <c r="E190" s="81">
        <v>1</v>
      </c>
      <c r="F190" s="81">
        <v>1</v>
      </c>
      <c r="H190" s="43">
        <f t="shared" si="6"/>
        <v>3</v>
      </c>
      <c r="I190" s="173">
        <f t="shared" si="7"/>
        <v>0.375</v>
      </c>
      <c r="J190" s="81">
        <f t="shared" si="8"/>
        <v>3</v>
      </c>
    </row>
    <row r="191" spans="1:10">
      <c r="A191" t="s">
        <v>1600</v>
      </c>
      <c r="H191" s="43">
        <f t="shared" si="6"/>
        <v>0</v>
      </c>
      <c r="I191" s="173">
        <f t="shared" si="7"/>
        <v>0</v>
      </c>
      <c r="J191" s="81" t="str">
        <f t="shared" si="8"/>
        <v/>
      </c>
    </row>
    <row r="192" spans="1:10">
      <c r="A192" t="s">
        <v>1601</v>
      </c>
      <c r="H192" s="43">
        <f t="shared" si="6"/>
        <v>0</v>
      </c>
      <c r="I192" s="173">
        <f t="shared" si="7"/>
        <v>0</v>
      </c>
      <c r="J192" s="81" t="str">
        <f t="shared" si="8"/>
        <v/>
      </c>
    </row>
    <row r="193" spans="1:10">
      <c r="A193" t="s">
        <v>1602</v>
      </c>
      <c r="H193" s="43">
        <f t="shared" si="6"/>
        <v>0</v>
      </c>
      <c r="I193" s="173">
        <f t="shared" si="7"/>
        <v>0</v>
      </c>
      <c r="J193" s="81" t="str">
        <f t="shared" si="8"/>
        <v/>
      </c>
    </row>
    <row r="194" spans="1:10">
      <c r="J194" s="81" t="str">
        <f t="shared" si="8"/>
        <v/>
      </c>
    </row>
    <row r="195" spans="1:10">
      <c r="J195" s="81" t="str">
        <f t="shared" ref="J195:J258" si="9">+IF(H195=6,6,IF(H195=5,5,IF(H195=4,4,IF(H195=3,3,IF(H195=2,2,IF(H195=1,1,""))))))</f>
        <v/>
      </c>
    </row>
    <row r="196" spans="1:10">
      <c r="J196" s="81" t="str">
        <f t="shared" si="9"/>
        <v/>
      </c>
    </row>
    <row r="197" spans="1:10">
      <c r="J197" s="81" t="str">
        <f t="shared" si="9"/>
        <v/>
      </c>
    </row>
    <row r="198" spans="1:10">
      <c r="J198" s="81" t="str">
        <f t="shared" si="9"/>
        <v/>
      </c>
    </row>
    <row r="199" spans="1:10">
      <c r="J199" s="81" t="str">
        <f t="shared" si="9"/>
        <v/>
      </c>
    </row>
    <row r="200" spans="1:10">
      <c r="J200" s="81" t="str">
        <f t="shared" si="9"/>
        <v/>
      </c>
    </row>
    <row r="201" spans="1:10">
      <c r="J201" s="81" t="str">
        <f t="shared" si="9"/>
        <v/>
      </c>
    </row>
    <row r="202" spans="1:10">
      <c r="J202" s="81" t="str">
        <f t="shared" si="9"/>
        <v/>
      </c>
    </row>
    <row r="203" spans="1:10">
      <c r="J203" s="81" t="str">
        <f t="shared" si="9"/>
        <v/>
      </c>
    </row>
    <row r="204" spans="1:10">
      <c r="J204" s="81" t="str">
        <f t="shared" si="9"/>
        <v/>
      </c>
    </row>
    <row r="205" spans="1:10">
      <c r="J205" s="81" t="str">
        <f t="shared" si="9"/>
        <v/>
      </c>
    </row>
    <row r="206" spans="1:10">
      <c r="J206" s="81" t="str">
        <f t="shared" si="9"/>
        <v/>
      </c>
    </row>
    <row r="207" spans="1:10">
      <c r="J207" s="81" t="str">
        <f t="shared" si="9"/>
        <v/>
      </c>
    </row>
    <row r="208" spans="1:10">
      <c r="J208" s="81" t="str">
        <f t="shared" si="9"/>
        <v/>
      </c>
    </row>
    <row r="209" spans="10:10">
      <c r="J209" s="81" t="str">
        <f t="shared" si="9"/>
        <v/>
      </c>
    </row>
    <row r="210" spans="10:10">
      <c r="J210" s="81" t="str">
        <f t="shared" si="9"/>
        <v/>
      </c>
    </row>
    <row r="211" spans="10:10">
      <c r="J211" s="81" t="str">
        <f t="shared" si="9"/>
        <v/>
      </c>
    </row>
    <row r="212" spans="10:10">
      <c r="J212" s="81" t="str">
        <f t="shared" si="9"/>
        <v/>
      </c>
    </row>
    <row r="213" spans="10:10">
      <c r="J213" s="81" t="str">
        <f t="shared" si="9"/>
        <v/>
      </c>
    </row>
    <row r="214" spans="10:10">
      <c r="J214" s="81" t="str">
        <f t="shared" si="9"/>
        <v/>
      </c>
    </row>
    <row r="215" spans="10:10">
      <c r="J215" s="81" t="str">
        <f t="shared" si="9"/>
        <v/>
      </c>
    </row>
    <row r="216" spans="10:10">
      <c r="J216" s="81" t="str">
        <f t="shared" si="9"/>
        <v/>
      </c>
    </row>
    <row r="217" spans="10:10">
      <c r="J217" s="81" t="str">
        <f t="shared" si="9"/>
        <v/>
      </c>
    </row>
    <row r="218" spans="10:10">
      <c r="J218" s="81" t="str">
        <f t="shared" si="9"/>
        <v/>
      </c>
    </row>
    <row r="219" spans="10:10">
      <c r="J219" s="81" t="str">
        <f t="shared" si="9"/>
        <v/>
      </c>
    </row>
    <row r="220" spans="10:10">
      <c r="J220" s="81" t="str">
        <f t="shared" si="9"/>
        <v/>
      </c>
    </row>
    <row r="221" spans="10:10">
      <c r="J221" s="81" t="str">
        <f t="shared" si="9"/>
        <v/>
      </c>
    </row>
    <row r="222" spans="10:10">
      <c r="J222" s="81" t="str">
        <f t="shared" si="9"/>
        <v/>
      </c>
    </row>
    <row r="223" spans="10:10">
      <c r="J223" s="81" t="str">
        <f t="shared" si="9"/>
        <v/>
      </c>
    </row>
    <row r="224" spans="10:10">
      <c r="J224" s="81" t="str">
        <f t="shared" si="9"/>
        <v/>
      </c>
    </row>
    <row r="225" spans="10:10">
      <c r="J225" s="81" t="str">
        <f t="shared" si="9"/>
        <v/>
      </c>
    </row>
    <row r="226" spans="10:10">
      <c r="J226" s="81" t="str">
        <f t="shared" si="9"/>
        <v/>
      </c>
    </row>
    <row r="227" spans="10:10">
      <c r="J227" s="81" t="str">
        <f t="shared" si="9"/>
        <v/>
      </c>
    </row>
    <row r="228" spans="10:10">
      <c r="J228" s="81" t="str">
        <f t="shared" si="9"/>
        <v/>
      </c>
    </row>
    <row r="229" spans="10:10">
      <c r="J229" s="81" t="str">
        <f t="shared" si="9"/>
        <v/>
      </c>
    </row>
    <row r="230" spans="10:10">
      <c r="J230" s="81" t="str">
        <f t="shared" si="9"/>
        <v/>
      </c>
    </row>
    <row r="231" spans="10:10">
      <c r="J231" s="81" t="str">
        <f t="shared" si="9"/>
        <v/>
      </c>
    </row>
    <row r="232" spans="10:10">
      <c r="J232" s="81" t="str">
        <f t="shared" si="9"/>
        <v/>
      </c>
    </row>
    <row r="233" spans="10:10">
      <c r="J233" s="81" t="str">
        <f t="shared" si="9"/>
        <v/>
      </c>
    </row>
    <row r="234" spans="10:10">
      <c r="J234" s="81" t="str">
        <f t="shared" si="9"/>
        <v/>
      </c>
    </row>
    <row r="235" spans="10:10">
      <c r="J235" s="81" t="str">
        <f t="shared" si="9"/>
        <v/>
      </c>
    </row>
    <row r="236" spans="10:10">
      <c r="J236" s="81" t="str">
        <f t="shared" si="9"/>
        <v/>
      </c>
    </row>
    <row r="237" spans="10:10">
      <c r="J237" s="81" t="str">
        <f t="shared" si="9"/>
        <v/>
      </c>
    </row>
    <row r="238" spans="10:10">
      <c r="J238" s="81" t="str">
        <f t="shared" si="9"/>
        <v/>
      </c>
    </row>
    <row r="239" spans="10:10">
      <c r="J239" s="81" t="str">
        <f t="shared" si="9"/>
        <v/>
      </c>
    </row>
    <row r="240" spans="10:10">
      <c r="J240" s="81" t="str">
        <f t="shared" si="9"/>
        <v/>
      </c>
    </row>
    <row r="241" spans="10:10">
      <c r="J241" s="81" t="str">
        <f t="shared" si="9"/>
        <v/>
      </c>
    </row>
    <row r="242" spans="10:10">
      <c r="J242" s="81" t="str">
        <f t="shared" si="9"/>
        <v/>
      </c>
    </row>
    <row r="243" spans="10:10">
      <c r="J243" s="81" t="str">
        <f t="shared" si="9"/>
        <v/>
      </c>
    </row>
    <row r="244" spans="10:10">
      <c r="J244" s="81" t="str">
        <f t="shared" si="9"/>
        <v/>
      </c>
    </row>
    <row r="245" spans="10:10">
      <c r="J245" s="81" t="str">
        <f t="shared" si="9"/>
        <v/>
      </c>
    </row>
    <row r="246" spans="10:10">
      <c r="J246" s="81" t="str">
        <f t="shared" si="9"/>
        <v/>
      </c>
    </row>
    <row r="247" spans="10:10">
      <c r="J247" s="81" t="str">
        <f t="shared" si="9"/>
        <v/>
      </c>
    </row>
    <row r="248" spans="10:10">
      <c r="J248" s="81" t="str">
        <f t="shared" si="9"/>
        <v/>
      </c>
    </row>
    <row r="249" spans="10:10">
      <c r="J249" s="81" t="str">
        <f t="shared" si="9"/>
        <v/>
      </c>
    </row>
    <row r="250" spans="10:10">
      <c r="J250" s="81" t="str">
        <f t="shared" si="9"/>
        <v/>
      </c>
    </row>
    <row r="251" spans="10:10">
      <c r="J251" s="81" t="str">
        <f t="shared" si="9"/>
        <v/>
      </c>
    </row>
    <row r="252" spans="10:10">
      <c r="J252" s="81" t="str">
        <f t="shared" si="9"/>
        <v/>
      </c>
    </row>
    <row r="253" spans="10:10">
      <c r="J253" s="81" t="str">
        <f t="shared" si="9"/>
        <v/>
      </c>
    </row>
    <row r="254" spans="10:10">
      <c r="J254" s="81" t="str">
        <f t="shared" si="9"/>
        <v/>
      </c>
    </row>
    <row r="255" spans="10:10">
      <c r="J255" s="81" t="str">
        <f t="shared" si="9"/>
        <v/>
      </c>
    </row>
    <row r="256" spans="10:10">
      <c r="J256" s="81" t="str">
        <f t="shared" si="9"/>
        <v/>
      </c>
    </row>
    <row r="257" spans="10:10">
      <c r="J257" s="81" t="str">
        <f t="shared" si="9"/>
        <v/>
      </c>
    </row>
    <row r="258" spans="10:10">
      <c r="J258" s="81" t="str">
        <f t="shared" si="9"/>
        <v/>
      </c>
    </row>
    <row r="259" spans="10:10">
      <c r="J259" s="81" t="str">
        <f t="shared" ref="J259:J322" si="10">+IF(H259=6,6,IF(H259=5,5,IF(H259=4,4,IF(H259=3,3,IF(H259=2,2,IF(H259=1,1,""))))))</f>
        <v/>
      </c>
    </row>
    <row r="260" spans="10:10">
      <c r="J260" s="81" t="str">
        <f t="shared" si="10"/>
        <v/>
      </c>
    </row>
    <row r="261" spans="10:10">
      <c r="J261" s="81" t="str">
        <f t="shared" si="10"/>
        <v/>
      </c>
    </row>
    <row r="262" spans="10:10">
      <c r="J262" s="81" t="str">
        <f t="shared" si="10"/>
        <v/>
      </c>
    </row>
    <row r="263" spans="10:10">
      <c r="J263" s="81" t="str">
        <f t="shared" si="10"/>
        <v/>
      </c>
    </row>
    <row r="264" spans="10:10">
      <c r="J264" s="81" t="str">
        <f t="shared" si="10"/>
        <v/>
      </c>
    </row>
    <row r="265" spans="10:10">
      <c r="J265" s="81" t="str">
        <f t="shared" si="10"/>
        <v/>
      </c>
    </row>
    <row r="266" spans="10:10">
      <c r="J266" s="81" t="str">
        <f t="shared" si="10"/>
        <v/>
      </c>
    </row>
    <row r="267" spans="10:10">
      <c r="J267" s="81" t="str">
        <f t="shared" si="10"/>
        <v/>
      </c>
    </row>
    <row r="268" spans="10:10">
      <c r="J268" s="81" t="str">
        <f t="shared" si="10"/>
        <v/>
      </c>
    </row>
    <row r="269" spans="10:10">
      <c r="J269" s="81" t="str">
        <f t="shared" si="10"/>
        <v/>
      </c>
    </row>
    <row r="270" spans="10:10">
      <c r="J270" s="81" t="str">
        <f t="shared" si="10"/>
        <v/>
      </c>
    </row>
    <row r="271" spans="10:10">
      <c r="J271" s="81" t="str">
        <f t="shared" si="10"/>
        <v/>
      </c>
    </row>
    <row r="272" spans="10:10">
      <c r="J272" s="81" t="str">
        <f t="shared" si="10"/>
        <v/>
      </c>
    </row>
    <row r="273" spans="10:10">
      <c r="J273" s="81" t="str">
        <f t="shared" si="10"/>
        <v/>
      </c>
    </row>
    <row r="274" spans="10:10">
      <c r="J274" s="81" t="str">
        <f t="shared" si="10"/>
        <v/>
      </c>
    </row>
    <row r="275" spans="10:10">
      <c r="J275" s="81" t="str">
        <f t="shared" si="10"/>
        <v/>
      </c>
    </row>
    <row r="276" spans="10:10">
      <c r="J276" s="81" t="str">
        <f t="shared" si="10"/>
        <v/>
      </c>
    </row>
    <row r="277" spans="10:10">
      <c r="J277" s="81" t="str">
        <f t="shared" si="10"/>
        <v/>
      </c>
    </row>
    <row r="278" spans="10:10">
      <c r="J278" s="81" t="str">
        <f t="shared" si="10"/>
        <v/>
      </c>
    </row>
    <row r="279" spans="10:10">
      <c r="J279" s="81" t="str">
        <f t="shared" si="10"/>
        <v/>
      </c>
    </row>
    <row r="280" spans="10:10">
      <c r="J280" s="81" t="str">
        <f t="shared" si="10"/>
        <v/>
      </c>
    </row>
    <row r="281" spans="10:10">
      <c r="J281" s="81" t="str">
        <f t="shared" si="10"/>
        <v/>
      </c>
    </row>
    <row r="282" spans="10:10">
      <c r="J282" s="81" t="str">
        <f t="shared" si="10"/>
        <v/>
      </c>
    </row>
    <row r="283" spans="10:10">
      <c r="J283" s="81" t="str">
        <f t="shared" si="10"/>
        <v/>
      </c>
    </row>
    <row r="284" spans="10:10">
      <c r="J284" s="81" t="str">
        <f t="shared" si="10"/>
        <v/>
      </c>
    </row>
    <row r="285" spans="10:10">
      <c r="J285" s="81" t="str">
        <f t="shared" si="10"/>
        <v/>
      </c>
    </row>
    <row r="286" spans="10:10">
      <c r="J286" s="81" t="str">
        <f t="shared" si="10"/>
        <v/>
      </c>
    </row>
    <row r="287" spans="10:10">
      <c r="J287" s="81" t="str">
        <f t="shared" si="10"/>
        <v/>
      </c>
    </row>
    <row r="288" spans="10:10">
      <c r="J288" s="81" t="str">
        <f t="shared" si="10"/>
        <v/>
      </c>
    </row>
    <row r="289" spans="10:10">
      <c r="J289" s="81" t="str">
        <f t="shared" si="10"/>
        <v/>
      </c>
    </row>
    <row r="290" spans="10:10">
      <c r="J290" s="81" t="str">
        <f t="shared" si="10"/>
        <v/>
      </c>
    </row>
    <row r="291" spans="10:10">
      <c r="J291" s="81" t="str">
        <f t="shared" si="10"/>
        <v/>
      </c>
    </row>
    <row r="292" spans="10:10">
      <c r="J292" s="81" t="str">
        <f t="shared" si="10"/>
        <v/>
      </c>
    </row>
    <row r="293" spans="10:10">
      <c r="J293" s="81" t="str">
        <f t="shared" si="10"/>
        <v/>
      </c>
    </row>
    <row r="294" spans="10:10">
      <c r="J294" s="81" t="str">
        <f t="shared" si="10"/>
        <v/>
      </c>
    </row>
    <row r="295" spans="10:10">
      <c r="J295" s="81" t="str">
        <f t="shared" si="10"/>
        <v/>
      </c>
    </row>
    <row r="296" spans="10:10">
      <c r="J296" s="81" t="str">
        <f t="shared" si="10"/>
        <v/>
      </c>
    </row>
    <row r="297" spans="10:10">
      <c r="J297" s="81" t="str">
        <f t="shared" si="10"/>
        <v/>
      </c>
    </row>
    <row r="298" spans="10:10">
      <c r="J298" s="81" t="str">
        <f t="shared" si="10"/>
        <v/>
      </c>
    </row>
    <row r="299" spans="10:10">
      <c r="J299" s="81" t="str">
        <f t="shared" si="10"/>
        <v/>
      </c>
    </row>
    <row r="300" spans="10:10">
      <c r="J300" s="81" t="str">
        <f t="shared" si="10"/>
        <v/>
      </c>
    </row>
    <row r="301" spans="10:10">
      <c r="J301" s="81" t="str">
        <f t="shared" si="10"/>
        <v/>
      </c>
    </row>
    <row r="302" spans="10:10">
      <c r="J302" s="81" t="str">
        <f t="shared" si="10"/>
        <v/>
      </c>
    </row>
    <row r="303" spans="10:10">
      <c r="J303" s="81" t="str">
        <f t="shared" si="10"/>
        <v/>
      </c>
    </row>
    <row r="304" spans="10:10">
      <c r="J304" s="81" t="str">
        <f t="shared" si="10"/>
        <v/>
      </c>
    </row>
    <row r="305" spans="10:10">
      <c r="J305" s="81" t="str">
        <f t="shared" si="10"/>
        <v/>
      </c>
    </row>
    <row r="306" spans="10:10">
      <c r="J306" s="81" t="str">
        <f t="shared" si="10"/>
        <v/>
      </c>
    </row>
    <row r="307" spans="10:10">
      <c r="J307" s="81" t="str">
        <f t="shared" si="10"/>
        <v/>
      </c>
    </row>
    <row r="308" spans="10:10">
      <c r="J308" s="81" t="str">
        <f t="shared" si="10"/>
        <v/>
      </c>
    </row>
    <row r="309" spans="10:10">
      <c r="J309" s="81" t="str">
        <f t="shared" si="10"/>
        <v/>
      </c>
    </row>
    <row r="310" spans="10:10">
      <c r="J310" s="81" t="str">
        <f t="shared" si="10"/>
        <v/>
      </c>
    </row>
    <row r="311" spans="10:10">
      <c r="J311" s="81" t="str">
        <f t="shared" si="10"/>
        <v/>
      </c>
    </row>
    <row r="312" spans="10:10">
      <c r="J312" s="81" t="str">
        <f t="shared" si="10"/>
        <v/>
      </c>
    </row>
    <row r="313" spans="10:10">
      <c r="J313" s="81" t="str">
        <f t="shared" si="10"/>
        <v/>
      </c>
    </row>
    <row r="314" spans="10:10">
      <c r="J314" s="81" t="str">
        <f t="shared" si="10"/>
        <v/>
      </c>
    </row>
    <row r="315" spans="10:10">
      <c r="J315" s="81" t="str">
        <f t="shared" si="10"/>
        <v/>
      </c>
    </row>
    <row r="316" spans="10:10">
      <c r="J316" s="81" t="str">
        <f t="shared" si="10"/>
        <v/>
      </c>
    </row>
    <row r="317" spans="10:10">
      <c r="J317" s="81" t="str">
        <f t="shared" si="10"/>
        <v/>
      </c>
    </row>
    <row r="318" spans="10:10">
      <c r="J318" s="81" t="str">
        <f t="shared" si="10"/>
        <v/>
      </c>
    </row>
    <row r="319" spans="10:10">
      <c r="J319" s="81" t="str">
        <f t="shared" si="10"/>
        <v/>
      </c>
    </row>
    <row r="320" spans="10:10">
      <c r="J320" s="81" t="str">
        <f t="shared" si="10"/>
        <v/>
      </c>
    </row>
    <row r="321" spans="10:10">
      <c r="J321" s="81" t="str">
        <f t="shared" si="10"/>
        <v/>
      </c>
    </row>
    <row r="322" spans="10:10">
      <c r="J322" s="81" t="str">
        <f t="shared" si="10"/>
        <v/>
      </c>
    </row>
    <row r="323" spans="10:10">
      <c r="J323" s="81" t="str">
        <f t="shared" ref="J323:J386" si="11">+IF(H323=6,6,IF(H323=5,5,IF(H323=4,4,IF(H323=3,3,IF(H323=2,2,IF(H323=1,1,""))))))</f>
        <v/>
      </c>
    </row>
    <row r="324" spans="10:10">
      <c r="J324" s="81" t="str">
        <f t="shared" si="11"/>
        <v/>
      </c>
    </row>
    <row r="325" spans="10:10">
      <c r="J325" s="81" t="str">
        <f t="shared" si="11"/>
        <v/>
      </c>
    </row>
    <row r="326" spans="10:10">
      <c r="J326" s="81" t="str">
        <f t="shared" si="11"/>
        <v/>
      </c>
    </row>
    <row r="327" spans="10:10">
      <c r="J327" s="81" t="str">
        <f t="shared" si="11"/>
        <v/>
      </c>
    </row>
    <row r="328" spans="10:10">
      <c r="J328" s="81" t="str">
        <f t="shared" si="11"/>
        <v/>
      </c>
    </row>
    <row r="329" spans="10:10">
      <c r="J329" s="81" t="str">
        <f t="shared" si="11"/>
        <v/>
      </c>
    </row>
    <row r="330" spans="10:10">
      <c r="J330" s="81" t="str">
        <f t="shared" si="11"/>
        <v/>
      </c>
    </row>
    <row r="331" spans="10:10">
      <c r="J331" s="81" t="str">
        <f t="shared" si="11"/>
        <v/>
      </c>
    </row>
    <row r="332" spans="10:10">
      <c r="J332" s="81" t="str">
        <f t="shared" si="11"/>
        <v/>
      </c>
    </row>
    <row r="333" spans="10:10">
      <c r="J333" s="81" t="str">
        <f t="shared" si="11"/>
        <v/>
      </c>
    </row>
    <row r="334" spans="10:10">
      <c r="J334" s="81" t="str">
        <f t="shared" si="11"/>
        <v/>
      </c>
    </row>
    <row r="335" spans="10:10">
      <c r="J335" s="81" t="str">
        <f t="shared" si="11"/>
        <v/>
      </c>
    </row>
    <row r="336" spans="10:10">
      <c r="J336" s="81" t="str">
        <f t="shared" si="11"/>
        <v/>
      </c>
    </row>
    <row r="337" spans="10:10">
      <c r="J337" s="81" t="str">
        <f t="shared" si="11"/>
        <v/>
      </c>
    </row>
    <row r="338" spans="10:10">
      <c r="J338" s="81" t="str">
        <f t="shared" si="11"/>
        <v/>
      </c>
    </row>
    <row r="339" spans="10:10">
      <c r="J339" s="81" t="str">
        <f t="shared" si="11"/>
        <v/>
      </c>
    </row>
    <row r="340" spans="10:10">
      <c r="J340" s="81" t="str">
        <f t="shared" si="11"/>
        <v/>
      </c>
    </row>
    <row r="341" spans="10:10">
      <c r="J341" s="81" t="str">
        <f t="shared" si="11"/>
        <v/>
      </c>
    </row>
    <row r="342" spans="10:10">
      <c r="J342" s="81" t="str">
        <f t="shared" si="11"/>
        <v/>
      </c>
    </row>
    <row r="343" spans="10:10">
      <c r="J343" s="81" t="str">
        <f t="shared" si="11"/>
        <v/>
      </c>
    </row>
    <row r="344" spans="10:10">
      <c r="J344" s="81" t="str">
        <f t="shared" si="11"/>
        <v/>
      </c>
    </row>
    <row r="345" spans="10:10">
      <c r="J345" s="81" t="str">
        <f t="shared" si="11"/>
        <v/>
      </c>
    </row>
    <row r="346" spans="10:10">
      <c r="J346" s="81" t="str">
        <f t="shared" si="11"/>
        <v/>
      </c>
    </row>
    <row r="347" spans="10:10">
      <c r="J347" s="81" t="str">
        <f t="shared" si="11"/>
        <v/>
      </c>
    </row>
    <row r="348" spans="10:10">
      <c r="J348" s="81" t="str">
        <f t="shared" si="11"/>
        <v/>
      </c>
    </row>
    <row r="349" spans="10:10">
      <c r="J349" s="81" t="str">
        <f t="shared" si="11"/>
        <v/>
      </c>
    </row>
    <row r="350" spans="10:10">
      <c r="J350" s="81" t="str">
        <f t="shared" si="11"/>
        <v/>
      </c>
    </row>
    <row r="351" spans="10:10">
      <c r="J351" s="81" t="str">
        <f t="shared" si="11"/>
        <v/>
      </c>
    </row>
    <row r="352" spans="10:10">
      <c r="J352" s="81" t="str">
        <f t="shared" si="11"/>
        <v/>
      </c>
    </row>
    <row r="353" spans="10:10">
      <c r="J353" s="81" t="str">
        <f t="shared" si="11"/>
        <v/>
      </c>
    </row>
    <row r="354" spans="10:10">
      <c r="J354" s="81" t="str">
        <f t="shared" si="11"/>
        <v/>
      </c>
    </row>
    <row r="355" spans="10:10">
      <c r="J355" s="81" t="str">
        <f t="shared" si="11"/>
        <v/>
      </c>
    </row>
    <row r="356" spans="10:10">
      <c r="J356" s="81" t="str">
        <f t="shared" si="11"/>
        <v/>
      </c>
    </row>
    <row r="357" spans="10:10">
      <c r="J357" s="81" t="str">
        <f t="shared" si="11"/>
        <v/>
      </c>
    </row>
    <row r="358" spans="10:10">
      <c r="J358" s="81" t="str">
        <f t="shared" si="11"/>
        <v/>
      </c>
    </row>
    <row r="359" spans="10:10">
      <c r="J359" s="81" t="str">
        <f t="shared" si="11"/>
        <v/>
      </c>
    </row>
    <row r="360" spans="10:10">
      <c r="J360" s="81" t="str">
        <f t="shared" si="11"/>
        <v/>
      </c>
    </row>
    <row r="361" spans="10:10">
      <c r="J361" s="81" t="str">
        <f t="shared" si="11"/>
        <v/>
      </c>
    </row>
    <row r="362" spans="10:10">
      <c r="J362" s="81" t="str">
        <f t="shared" si="11"/>
        <v/>
      </c>
    </row>
    <row r="363" spans="10:10">
      <c r="J363" s="81" t="str">
        <f t="shared" si="11"/>
        <v/>
      </c>
    </row>
    <row r="364" spans="10:10">
      <c r="J364" s="81" t="str">
        <f t="shared" si="11"/>
        <v/>
      </c>
    </row>
    <row r="365" spans="10:10">
      <c r="J365" s="81" t="str">
        <f t="shared" si="11"/>
        <v/>
      </c>
    </row>
    <row r="366" spans="10:10">
      <c r="J366" s="81" t="str">
        <f t="shared" si="11"/>
        <v/>
      </c>
    </row>
    <row r="367" spans="10:10">
      <c r="J367" s="81" t="str">
        <f t="shared" si="11"/>
        <v/>
      </c>
    </row>
    <row r="368" spans="10:10">
      <c r="J368" s="81" t="str">
        <f t="shared" si="11"/>
        <v/>
      </c>
    </row>
    <row r="369" spans="10:10">
      <c r="J369" s="81" t="str">
        <f t="shared" si="11"/>
        <v/>
      </c>
    </row>
    <row r="370" spans="10:10">
      <c r="J370" s="81" t="str">
        <f t="shared" si="11"/>
        <v/>
      </c>
    </row>
    <row r="371" spans="10:10">
      <c r="J371" s="81" t="str">
        <f t="shared" si="11"/>
        <v/>
      </c>
    </row>
    <row r="372" spans="10:10">
      <c r="J372" s="81" t="str">
        <f t="shared" si="11"/>
        <v/>
      </c>
    </row>
    <row r="373" spans="10:10">
      <c r="J373" s="81" t="str">
        <f t="shared" si="11"/>
        <v/>
      </c>
    </row>
    <row r="374" spans="10:10">
      <c r="J374" s="81" t="str">
        <f t="shared" si="11"/>
        <v/>
      </c>
    </row>
    <row r="375" spans="10:10">
      <c r="J375" s="81" t="str">
        <f t="shared" si="11"/>
        <v/>
      </c>
    </row>
    <row r="376" spans="10:10">
      <c r="J376" s="81" t="str">
        <f t="shared" si="11"/>
        <v/>
      </c>
    </row>
    <row r="377" spans="10:10">
      <c r="J377" s="81" t="str">
        <f t="shared" si="11"/>
        <v/>
      </c>
    </row>
    <row r="378" spans="10:10">
      <c r="J378" s="81" t="str">
        <f t="shared" si="11"/>
        <v/>
      </c>
    </row>
    <row r="379" spans="10:10">
      <c r="J379" s="81" t="str">
        <f t="shared" si="11"/>
        <v/>
      </c>
    </row>
    <row r="380" spans="10:10">
      <c r="J380" s="81" t="str">
        <f t="shared" si="11"/>
        <v/>
      </c>
    </row>
    <row r="381" spans="10:10">
      <c r="J381" s="81" t="str">
        <f t="shared" si="11"/>
        <v/>
      </c>
    </row>
    <row r="382" spans="10:10">
      <c r="J382" s="81" t="str">
        <f t="shared" si="11"/>
        <v/>
      </c>
    </row>
    <row r="383" spans="10:10">
      <c r="J383" s="81" t="str">
        <f t="shared" si="11"/>
        <v/>
      </c>
    </row>
    <row r="384" spans="10:10">
      <c r="J384" s="81" t="str">
        <f t="shared" si="11"/>
        <v/>
      </c>
    </row>
    <row r="385" spans="10:10">
      <c r="J385" s="81" t="str">
        <f t="shared" si="11"/>
        <v/>
      </c>
    </row>
    <row r="386" spans="10:10">
      <c r="J386" s="81" t="str">
        <f t="shared" si="11"/>
        <v/>
      </c>
    </row>
    <row r="387" spans="10:10">
      <c r="J387" s="81" t="str">
        <f t="shared" ref="J387:J390" si="12">+IF(H387=6,6,IF(H387=5,5,IF(H387=4,4,IF(H387=3,3,IF(H387=2,2,IF(H387=1,1,""))))))</f>
        <v/>
      </c>
    </row>
    <row r="388" spans="10:10">
      <c r="J388" s="81" t="str">
        <f t="shared" si="12"/>
        <v/>
      </c>
    </row>
    <row r="389" spans="10:10">
      <c r="J389" s="81" t="str">
        <f t="shared" si="12"/>
        <v/>
      </c>
    </row>
    <row r="390" spans="10:10">
      <c r="J390" s="81" t="str">
        <f t="shared" si="12"/>
        <v/>
      </c>
    </row>
  </sheetData>
  <autoFilter ref="A1:L390" xr:uid="{00000000-0009-0000-0000-00000300000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3" tint="0.59999389629810485"/>
    <pageSetUpPr fitToPage="1"/>
  </sheetPr>
  <dimension ref="A1:O64"/>
  <sheetViews>
    <sheetView showZeros="0" workbookViewId="0">
      <selection activeCell="E1" sqref="E1"/>
    </sheetView>
  </sheetViews>
  <sheetFormatPr defaultColWidth="11.42578125" defaultRowHeight="15"/>
  <cols>
    <col min="1" max="1" width="25.5703125" customWidth="1" collapsed="1"/>
    <col min="2" max="2" width="19" customWidth="1" collapsed="1"/>
    <col min="3" max="4" width="14" customWidth="1" collapsed="1"/>
    <col min="5" max="5" width="14.140625" customWidth="1" collapsed="1"/>
    <col min="6" max="8" width="9.5703125" customWidth="1" collapsed="1"/>
    <col min="9" max="9" width="12.28515625" customWidth="1" collapsed="1"/>
    <col min="10" max="15" width="9.5703125" customWidth="1" collapsed="1"/>
  </cols>
  <sheetData>
    <row r="1" spans="1:10">
      <c r="A1" s="6" t="s">
        <v>0</v>
      </c>
    </row>
    <row r="2" spans="1:10">
      <c r="A2" s="6" t="s">
        <v>1611</v>
      </c>
    </row>
    <row r="3" spans="1:10">
      <c r="A3" s="6" t="s">
        <v>1610</v>
      </c>
    </row>
    <row r="4" spans="1:10">
      <c r="A4" s="6" t="s">
        <v>1607</v>
      </c>
    </row>
    <row r="6" spans="1:10">
      <c r="A6" s="6" t="s">
        <v>20</v>
      </c>
      <c r="B6" t="str">
        <f>+CONCATENATE(IF(FORMULARIO!C31="N/A","",FORMULARIO!C31)," ",IF(FORMULARIO!C32="N/A","",FORMULARIO!C32)," ",IF(FORMULARIO!C33="N/A","",FORMULARIO!C33)," ",IF(FORMULARIO!C34="N/A","",FORMULARIO!C34)," ",IF(FORMULARIO!C35="N/A","",FORMULARIO!C35))</f>
        <v xml:space="preserve">    </v>
      </c>
    </row>
    <row r="7" spans="1:10">
      <c r="A7" s="6" t="s">
        <v>1626</v>
      </c>
      <c r="B7" s="7">
        <f>+FORMULARIO!C40</f>
        <v>0</v>
      </c>
    </row>
    <row r="8" spans="1:10">
      <c r="A8" s="6" t="s">
        <v>24</v>
      </c>
      <c r="B8">
        <f>+FORMULARIO!C19</f>
        <v>0</v>
      </c>
    </row>
    <row r="9" spans="1:10">
      <c r="A9" s="6" t="s">
        <v>25</v>
      </c>
      <c r="B9">
        <f>+FORMULARIO!C20</f>
        <v>0</v>
      </c>
    </row>
    <row r="10" spans="1:10">
      <c r="A10" s="6" t="s">
        <v>27</v>
      </c>
      <c r="B10" s="7">
        <f>+FORMULARIO!C21</f>
        <v>0</v>
      </c>
    </row>
    <row r="11" spans="1:10">
      <c r="A11" s="6" t="s">
        <v>19</v>
      </c>
      <c r="B11">
        <f>+FORMULARIO!C22</f>
        <v>0</v>
      </c>
    </row>
    <row r="12" spans="1:10">
      <c r="A12" s="6" t="s">
        <v>1292</v>
      </c>
      <c r="B12">
        <f>+FORMULARIO!C28</f>
        <v>0</v>
      </c>
    </row>
    <row r="13" spans="1:10">
      <c r="A13" s="6" t="s">
        <v>1612</v>
      </c>
      <c r="B13" s="7">
        <f>+FORMULARIO!C29</f>
        <v>0</v>
      </c>
    </row>
    <row r="14" spans="1:10">
      <c r="A14" s="6"/>
      <c r="B14" s="7"/>
    </row>
    <row r="15" spans="1:10" ht="15.75" thickBot="1"/>
    <row r="16" spans="1:10" ht="21" customHeight="1">
      <c r="B16" s="355" t="s">
        <v>1613</v>
      </c>
      <c r="C16" s="356"/>
      <c r="D16" s="351" t="s">
        <v>1629</v>
      </c>
      <c r="E16" s="352"/>
      <c r="F16" s="175"/>
      <c r="G16" s="175"/>
      <c r="H16" s="176"/>
      <c r="I16" s="176"/>
      <c r="J16" s="176"/>
    </row>
    <row r="17" spans="1:12" ht="27" thickBot="1">
      <c r="B17" s="353">
        <f>+H27</f>
        <v>0</v>
      </c>
      <c r="C17" s="354"/>
      <c r="D17" s="357" t="str">
        <f>+IF(AND(B17&gt;0,B17&lt;=5.4),"DEFICIENTE",IF(AND(B17&gt;5.5,B17&lt;=11.5),"SUFICIENTE",""))</f>
        <v/>
      </c>
      <c r="E17" s="358"/>
      <c r="F17" s="177"/>
      <c r="G17" s="177"/>
      <c r="H17" s="178"/>
      <c r="I17" s="178"/>
      <c r="J17" s="178"/>
    </row>
    <row r="21" spans="1:12" s="18" customFormat="1" ht="30">
      <c r="A21" s="359" t="s">
        <v>1614</v>
      </c>
      <c r="B21" s="359"/>
      <c r="C21" s="359"/>
      <c r="D21" s="359"/>
      <c r="E21" s="179" t="s">
        <v>1615</v>
      </c>
      <c r="F21" s="179" t="s">
        <v>1616</v>
      </c>
      <c r="G21" s="179" t="s">
        <v>1617</v>
      </c>
      <c r="H21" s="179" t="s">
        <v>1618</v>
      </c>
      <c r="I21" s="179" t="s">
        <v>1630</v>
      </c>
      <c r="J21" s="179" t="s">
        <v>1633</v>
      </c>
    </row>
    <row r="22" spans="1:12">
      <c r="A22" s="180" t="s">
        <v>1401</v>
      </c>
      <c r="B22" s="181" t="s">
        <v>1627</v>
      </c>
      <c r="C22" s="15"/>
      <c r="D22" s="76"/>
      <c r="E22" s="182">
        <f>+Cumplimiento!K9</f>
        <v>0</v>
      </c>
      <c r="F22" s="183">
        <f>+Cumplimiento!L9</f>
        <v>0</v>
      </c>
      <c r="G22" s="184">
        <v>0.05</v>
      </c>
      <c r="H22" s="205">
        <f>+E22*G22</f>
        <v>0</v>
      </c>
      <c r="I22" s="185" t="str">
        <f>+IF(AND(H22&gt;=0,H22&lt;=0.98),"DEFICIENTE",IF(AND(H22&gt;=0.99,H22&lt;=1.2),"SUFICIENTE",""))</f>
        <v>DEFICIENTE</v>
      </c>
      <c r="J22" s="202">
        <v>1.2</v>
      </c>
      <c r="L22" s="204"/>
    </row>
    <row r="23" spans="1:12" ht="15" customHeight="1">
      <c r="A23" s="180" t="s">
        <v>1403</v>
      </c>
      <c r="B23" s="181" t="s">
        <v>1628</v>
      </c>
      <c r="C23" s="15"/>
      <c r="D23" s="76"/>
      <c r="E23" s="186">
        <f>+Cumplimiento!K33</f>
        <v>0</v>
      </c>
      <c r="F23" s="187">
        <f>+Cumplimiento!L33</f>
        <v>0</v>
      </c>
      <c r="G23" s="165">
        <v>0.05</v>
      </c>
      <c r="H23" s="205">
        <f>+E23*G23</f>
        <v>0</v>
      </c>
      <c r="I23" s="185" t="str">
        <f>+IF(AND(H23&gt;=0,H23&lt;=0.34),"DEFICIENTE",IF(AND(H23&gt;=0.35,H23&lt;=0.41),"SUFICIENTE",""))</f>
        <v>DEFICIENTE</v>
      </c>
      <c r="J23" s="202">
        <v>0.4</v>
      </c>
      <c r="L23" s="204"/>
    </row>
    <row r="24" spans="1:12">
      <c r="A24" s="180" t="s">
        <v>1404</v>
      </c>
      <c r="B24" s="181" t="s">
        <v>1619</v>
      </c>
      <c r="C24" s="15"/>
      <c r="D24" s="76"/>
      <c r="E24" s="186">
        <f>+Cumplimiento!K43</f>
        <v>0</v>
      </c>
      <c r="F24" s="187">
        <f>+Cumplimiento!L43</f>
        <v>0</v>
      </c>
      <c r="G24" s="165">
        <v>0.2</v>
      </c>
      <c r="H24" s="205">
        <f>+E24*G24</f>
        <v>0</v>
      </c>
      <c r="I24" s="185" t="str">
        <f>+IF(AND(H24&gt;=0,H24&lt;=1.17),"DEFICIENTE",IF(AND(H24&gt;=1.18,H24&lt;=1.43),"SUFICIENTE",""))</f>
        <v>DEFICIENTE</v>
      </c>
      <c r="J24" s="202">
        <v>1.4000000000000001</v>
      </c>
      <c r="L24" s="204"/>
    </row>
    <row r="25" spans="1:12">
      <c r="A25" s="180" t="s">
        <v>1414</v>
      </c>
      <c r="B25" s="181" t="s">
        <v>1620</v>
      </c>
      <c r="C25" s="15"/>
      <c r="D25" s="76"/>
      <c r="E25" s="186">
        <f>+Cumplimiento!K63</f>
        <v>0</v>
      </c>
      <c r="F25" s="187">
        <f>+Cumplimiento!L63</f>
        <v>0</v>
      </c>
      <c r="G25" s="165">
        <v>0.2</v>
      </c>
      <c r="H25" s="205">
        <f>+E25*G25</f>
        <v>0</v>
      </c>
      <c r="I25" s="185" t="str">
        <f>+IF(AND(H25&gt;=0,H25&lt;=0.74),"DEFICIENTE",IF(AND(H25&gt;=0.75,H25&lt;=2.41),"SUFICIENTE",""))</f>
        <v>DEFICIENTE</v>
      </c>
      <c r="J25" s="202">
        <v>2.4</v>
      </c>
      <c r="L25" s="204"/>
    </row>
    <row r="26" spans="1:12">
      <c r="A26" s="180" t="s">
        <v>1420</v>
      </c>
      <c r="B26" s="181" t="s">
        <v>1621</v>
      </c>
      <c r="C26" s="15"/>
      <c r="D26" s="76"/>
      <c r="E26" s="186">
        <f>+Cumplimiento!K80</f>
        <v>0</v>
      </c>
      <c r="F26" s="187">
        <f>+Cumplimiento!L80</f>
        <v>0</v>
      </c>
      <c r="G26" s="165">
        <v>0.5</v>
      </c>
      <c r="H26" s="205">
        <f>+E26*G26</f>
        <v>0</v>
      </c>
      <c r="I26" s="185" t="str">
        <f>+IF(AND(H26&gt;=0,H26&lt;=2.4),"DEFICIENTE",IF(AND(H26&gt;=2.5,H26&lt;=6.1),"SUFICIENTE",""))</f>
        <v>DEFICIENTE</v>
      </c>
      <c r="J26" s="202">
        <v>6</v>
      </c>
      <c r="L26" s="204"/>
    </row>
    <row r="27" spans="1:12" ht="15.75" thickBot="1">
      <c r="E27" s="188">
        <f>SUM(E22:E26)</f>
        <v>0</v>
      </c>
      <c r="F27" s="203"/>
      <c r="G27" s="200">
        <f>SUM(G22:G26)</f>
        <v>1</v>
      </c>
      <c r="H27" s="189">
        <f>SUM(H22:H26)</f>
        <v>0</v>
      </c>
      <c r="I27" s="189"/>
      <c r="J27" s="189">
        <f>SUM(J22:J26)</f>
        <v>11.4</v>
      </c>
    </row>
    <row r="28" spans="1:12" ht="15.75" thickTop="1"/>
    <row r="31" spans="1:12" ht="24" customHeight="1">
      <c r="A31" s="361" t="s">
        <v>1631</v>
      </c>
      <c r="B31" s="362"/>
      <c r="C31" s="362"/>
      <c r="D31" s="363"/>
    </row>
    <row r="32" spans="1:12" ht="24" customHeight="1">
      <c r="A32" s="361" t="s">
        <v>1622</v>
      </c>
      <c r="B32" s="363"/>
      <c r="C32" s="362" t="s">
        <v>1623</v>
      </c>
      <c r="D32" s="363"/>
    </row>
    <row r="33" spans="1:4">
      <c r="A33" s="190" t="s">
        <v>1114</v>
      </c>
      <c r="B33" s="191" t="s">
        <v>1624</v>
      </c>
      <c r="C33" s="191">
        <v>6</v>
      </c>
      <c r="D33" s="191">
        <v>11</v>
      </c>
    </row>
    <row r="34" spans="1:4" ht="15.75" thickBot="1">
      <c r="A34" s="201" t="s">
        <v>1414</v>
      </c>
      <c r="B34" s="193" t="s">
        <v>1625</v>
      </c>
      <c r="C34" s="210">
        <v>0.01</v>
      </c>
      <c r="D34" s="193">
        <v>5</v>
      </c>
    </row>
    <row r="40" spans="1:4">
      <c r="A40" s="148" t="s">
        <v>119</v>
      </c>
      <c r="B40" t="str">
        <f>+FORMULARIO!$C$16</f>
        <v/>
      </c>
    </row>
    <row r="41" spans="1:4">
      <c r="A41" s="148"/>
    </row>
    <row r="42" spans="1:4">
      <c r="A42" s="360" t="s">
        <v>1310</v>
      </c>
    </row>
    <row r="43" spans="1:4">
      <c r="A43" s="360"/>
      <c r="B43" t="s">
        <v>121</v>
      </c>
    </row>
    <row r="46" spans="1:4">
      <c r="A46" s="148" t="s">
        <v>1345</v>
      </c>
      <c r="B46" t="str">
        <f>+FORMULARIO!$C$17</f>
        <v/>
      </c>
    </row>
    <row r="47" spans="1:4">
      <c r="A47" s="148"/>
    </row>
    <row r="48" spans="1:4">
      <c r="A48" s="360" t="s">
        <v>1310</v>
      </c>
    </row>
    <row r="49" spans="1:11">
      <c r="A49" s="360"/>
      <c r="B49" t="s">
        <v>121</v>
      </c>
    </row>
    <row r="58" spans="1:11" hidden="1">
      <c r="A58" s="341" t="s">
        <v>1401</v>
      </c>
      <c r="B58" s="342"/>
      <c r="C58" s="343" t="s">
        <v>1403</v>
      </c>
      <c r="D58" s="344"/>
      <c r="E58" s="345" t="s">
        <v>1404</v>
      </c>
      <c r="F58" s="346"/>
      <c r="G58" s="347" t="s">
        <v>1414</v>
      </c>
      <c r="H58" s="348"/>
      <c r="I58" s="199"/>
      <c r="J58" s="349" t="s">
        <v>1420</v>
      </c>
      <c r="K58" s="350"/>
    </row>
    <row r="59" spans="1:11" hidden="1">
      <c r="A59" s="194">
        <v>0</v>
      </c>
      <c r="B59" s="196">
        <f>+($J$22/11)*$D$34</f>
        <v>0.54545454545454541</v>
      </c>
      <c r="C59" s="194">
        <v>0</v>
      </c>
      <c r="D59" s="196">
        <f>+($J$23/$J$27)*$D$34</f>
        <v>0.17543859649122806</v>
      </c>
      <c r="E59" s="194">
        <v>0</v>
      </c>
      <c r="F59" s="196">
        <f>+($J$24/$J$27)*$D$34</f>
        <v>0.61403508771929827</v>
      </c>
      <c r="G59" s="194">
        <v>0</v>
      </c>
      <c r="H59" s="196">
        <f>+($J$25/$J$27)*$D$34</f>
        <v>1.0526315789473684</v>
      </c>
      <c r="I59" s="196"/>
      <c r="J59" s="194">
        <v>0</v>
      </c>
      <c r="K59" s="196">
        <f>+($J$26/$J$27)*$D$34</f>
        <v>2.6315789473684208</v>
      </c>
    </row>
    <row r="60" spans="1:11" hidden="1">
      <c r="A60" s="192">
        <v>0.66</v>
      </c>
      <c r="B60" s="197" t="e">
        <f>+($J$22/11)*#REF!</f>
        <v>#REF!</v>
      </c>
      <c r="C60" s="192">
        <v>0.23</v>
      </c>
      <c r="D60" s="197" t="e">
        <f>+($J$23/$J$27)*#REF!</f>
        <v>#REF!</v>
      </c>
      <c r="E60" s="192">
        <v>0.79</v>
      </c>
      <c r="F60" s="197" t="e">
        <f>+($J$24/$J$27)*#REF!</f>
        <v>#REF!</v>
      </c>
      <c r="G60" s="192">
        <v>1.27</v>
      </c>
      <c r="H60" s="197" t="e">
        <f>+($J$25/$J$27)*#REF!</f>
        <v>#REF!</v>
      </c>
      <c r="I60" s="197"/>
      <c r="J60" s="192">
        <v>3.17</v>
      </c>
      <c r="K60" s="197" t="e">
        <f>+($J$26/$J$27)*#REF!</f>
        <v>#REF!</v>
      </c>
    </row>
    <row r="61" spans="1:11" ht="15.75" hidden="1" thickBot="1">
      <c r="A61" s="195">
        <v>0.99</v>
      </c>
      <c r="B61" s="195">
        <f>+($J$22/11)*$D$33</f>
        <v>1.2</v>
      </c>
      <c r="C61" s="195">
        <v>0.34</v>
      </c>
      <c r="D61" s="198">
        <f>+($J$23/$J$27)*$D$33</f>
        <v>0.38596491228070173</v>
      </c>
      <c r="E61" s="195">
        <v>1.18</v>
      </c>
      <c r="F61" s="198">
        <f>+($J$24/$J$27)*$D$33</f>
        <v>1.3508771929824561</v>
      </c>
      <c r="G61" s="195">
        <v>1.9</v>
      </c>
      <c r="H61" s="198">
        <f>+($J$25/$J$27)*$D$33</f>
        <v>2.3157894736842106</v>
      </c>
      <c r="I61" s="198"/>
      <c r="J61" s="195">
        <v>4.0999999999999996</v>
      </c>
      <c r="K61" s="198">
        <f>+($J$26/$J$27)*$D$33</f>
        <v>5.7894736842105257</v>
      </c>
    </row>
    <row r="62" spans="1:11" hidden="1"/>
    <row r="63" spans="1:11" hidden="1"/>
    <row r="64" spans="1:11" hidden="1"/>
  </sheetData>
  <mergeCells count="15">
    <mergeCell ref="A48:A49"/>
    <mergeCell ref="A31:D31"/>
    <mergeCell ref="A32:B32"/>
    <mergeCell ref="C32:D32"/>
    <mergeCell ref="A42:A43"/>
    <mergeCell ref="D16:E16"/>
    <mergeCell ref="B17:C17"/>
    <mergeCell ref="B16:C16"/>
    <mergeCell ref="D17:E17"/>
    <mergeCell ref="A21:D21"/>
    <mergeCell ref="A58:B58"/>
    <mergeCell ref="C58:D58"/>
    <mergeCell ref="E58:F58"/>
    <mergeCell ref="G58:H58"/>
    <mergeCell ref="J58:K58"/>
  </mergeCells>
  <conditionalFormatting sqref="B17">
    <cfRule type="cellIs" dxfId="29" priority="34" operator="between">
      <formula>5.5</formula>
      <formula>11.5</formula>
    </cfRule>
    <cfRule type="cellIs" dxfId="28" priority="36" operator="between">
      <formula>0</formula>
      <formula>5.4</formula>
    </cfRule>
  </conditionalFormatting>
  <conditionalFormatting sqref="H22">
    <cfRule type="cellIs" dxfId="27" priority="31" operator="between">
      <formula>0.99</formula>
      <formula>1.2</formula>
    </cfRule>
    <cfRule type="cellIs" dxfId="26" priority="33" operator="between">
      <formula>0</formula>
      <formula>0.98</formula>
    </cfRule>
  </conditionalFormatting>
  <conditionalFormatting sqref="H23">
    <cfRule type="cellIs" dxfId="25" priority="28" operator="between">
      <formula>0.35</formula>
      <formula>0.41</formula>
    </cfRule>
    <cfRule type="cellIs" dxfId="24" priority="30" operator="between">
      <formula>0</formula>
      <formula>0.34</formula>
    </cfRule>
  </conditionalFormatting>
  <conditionalFormatting sqref="H24">
    <cfRule type="cellIs" dxfId="23" priority="25" operator="between">
      <formula>1.18</formula>
      <formula>1.43</formula>
    </cfRule>
    <cfRule type="cellIs" dxfId="22" priority="27" operator="between">
      <formula>0</formula>
      <formula>1.17</formula>
    </cfRule>
  </conditionalFormatting>
  <conditionalFormatting sqref="H25">
    <cfRule type="cellIs" dxfId="21" priority="22" operator="between">
      <formula>0.75</formula>
      <formula>2.41</formula>
    </cfRule>
    <cfRule type="cellIs" dxfId="20" priority="24" operator="between">
      <formula>0</formula>
      <formula>0.74</formula>
    </cfRule>
  </conditionalFormatting>
  <conditionalFormatting sqref="H26">
    <cfRule type="cellIs" dxfId="19" priority="19" operator="between">
      <formula>2.5</formula>
      <formula>6</formula>
    </cfRule>
    <cfRule type="cellIs" dxfId="18" priority="21" operator="between">
      <formula>0</formula>
      <formula>2.4</formula>
    </cfRule>
  </conditionalFormatting>
  <conditionalFormatting sqref="I25">
    <cfRule type="containsText" dxfId="17" priority="5" operator="containsText" text="&quot;ACEPTABLE&quot;">
      <formula>NOT(ISERROR(SEARCH("""ACEPTABLE""",I25)))</formula>
    </cfRule>
  </conditionalFormatting>
  <printOptions horizontalCentered="1"/>
  <pageMargins left="0.39370078740157483" right="0.34" top="0.35433070866141736" bottom="0.74803149606299213" header="0.31496062992125984" footer="0.31496062992125984"/>
  <pageSetup scale="72"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id="{7727A59A-3B6D-4A00-AF7F-9083762E18E7}">
            <xm:f>NOT(ISERROR(SEARCH("SUFICIENTE",I26)))</xm:f>
            <xm:f>"SUFICIENTE"</xm:f>
            <x14:dxf>
              <fill>
                <patternFill>
                  <bgColor rgb="FF92D050"/>
                </patternFill>
              </fill>
            </x14:dxf>
          </x14:cfRule>
          <xm:sqref>I26</xm:sqref>
        </x14:conditionalFormatting>
        <x14:conditionalFormatting xmlns:xm="http://schemas.microsoft.com/office/excel/2006/main">
          <x14:cfRule type="containsText" priority="16" operator="containsText" id="{BB8E151A-D20B-4BC2-9BD7-C8C045C29D1D}">
            <xm:f>NOT(ISERROR(SEARCH("SUFICIENTE",D17)))</xm:f>
            <xm:f>"SUFICIENTE"</xm:f>
            <x14:dxf>
              <fill>
                <patternFill>
                  <bgColor rgb="FF92D050"/>
                </patternFill>
              </fill>
            </x14:dxf>
          </x14:cfRule>
          <x14:cfRule type="containsText" priority="17" operator="containsText" id="{1191F810-2F11-4CA4-8AE2-9D1EAE36264A}">
            <xm:f>NOT(ISERROR(SEARCH("ACEPTABLE",D17)))</xm:f>
            <xm:f>"ACEPTABLE"</xm:f>
            <x14:dxf>
              <fill>
                <patternFill>
                  <bgColor rgb="FFFFFF00"/>
                </patternFill>
              </fill>
            </x14:dxf>
          </x14:cfRule>
          <x14:cfRule type="containsText" priority="18" operator="containsText" id="{52822903-B2D9-42C9-9B6C-FDB7A52DEDF5}">
            <xm:f>NOT(ISERROR(SEARCH("DEFICIENTE",D17)))</xm:f>
            <xm:f>"DEFICIENTE"</xm:f>
            <x14:dxf>
              <fill>
                <patternFill>
                  <bgColor rgb="FFFF5050"/>
                </patternFill>
              </fill>
            </x14:dxf>
          </x14:cfRule>
          <xm:sqref>D17</xm:sqref>
        </x14:conditionalFormatting>
        <x14:conditionalFormatting xmlns:xm="http://schemas.microsoft.com/office/excel/2006/main">
          <x14:cfRule type="containsText" priority="13" operator="containsText" id="{15436921-CBFC-4119-A8BA-845DC95A39CC}">
            <xm:f>NOT(ISERROR(SEARCH("SUFICIENTE",I22)))</xm:f>
            <xm:f>"SUFICIENTE"</xm:f>
            <x14:dxf>
              <fill>
                <patternFill>
                  <bgColor rgb="FF92D050"/>
                </patternFill>
              </fill>
            </x14:dxf>
          </x14:cfRule>
          <x14:cfRule type="containsText" priority="14" operator="containsText" id="{E63DFB32-2D81-49A1-9169-F7CED0533905}">
            <xm:f>NOT(ISERROR(SEARCH("ACEPTABLE",I22)))</xm:f>
            <xm:f>"ACEPTABLE"</xm:f>
            <x14:dxf>
              <fill>
                <patternFill>
                  <bgColor rgb="FFFFFF00"/>
                </patternFill>
              </fill>
            </x14:dxf>
          </x14:cfRule>
          <x14:cfRule type="containsText" priority="15" operator="containsText" id="{0D0418E0-08EB-45A8-A9F6-F3CC7121ED30}">
            <xm:f>NOT(ISERROR(SEARCH("DEFICIENTE",I22)))</xm:f>
            <xm:f>"DEFICIENTE"</xm:f>
            <x14:dxf>
              <fill>
                <patternFill>
                  <bgColor rgb="FFFF5050"/>
                </patternFill>
              </fill>
            </x14:dxf>
          </x14:cfRule>
          <xm:sqref>I22</xm:sqref>
        </x14:conditionalFormatting>
        <x14:conditionalFormatting xmlns:xm="http://schemas.microsoft.com/office/excel/2006/main">
          <x14:cfRule type="containsText" priority="10" operator="containsText" id="{60AF9EF3-C6A7-4E7E-9B58-141F8622FBC1}">
            <xm:f>NOT(ISERROR(SEARCH("SUFICIENTE",I23)))</xm:f>
            <xm:f>"SUFICIENTE"</xm:f>
            <x14:dxf>
              <fill>
                <patternFill>
                  <bgColor rgb="FF92D050"/>
                </patternFill>
              </fill>
            </x14:dxf>
          </x14:cfRule>
          <x14:cfRule type="containsText" priority="11" operator="containsText" id="{3CF5C318-B59D-4CB7-BE52-98F09B47A864}">
            <xm:f>NOT(ISERROR(SEARCH("ACEPTABLE",I23)))</xm:f>
            <xm:f>"ACEPTABLE"</xm:f>
            <x14:dxf>
              <fill>
                <patternFill>
                  <bgColor rgb="FFFFFF00"/>
                </patternFill>
              </fill>
            </x14:dxf>
          </x14:cfRule>
          <x14:cfRule type="containsText" priority="12" operator="containsText" id="{32A4E397-2FF7-4D00-8A88-3F87FAD0A66B}">
            <xm:f>NOT(ISERROR(SEARCH("DEFICIENTE",I23)))</xm:f>
            <xm:f>"DEFICIENTE"</xm:f>
            <x14:dxf>
              <fill>
                <patternFill>
                  <bgColor rgb="FFFF5050"/>
                </patternFill>
              </fill>
            </x14:dxf>
          </x14:cfRule>
          <xm:sqref>I23</xm:sqref>
        </x14:conditionalFormatting>
        <x14:conditionalFormatting xmlns:xm="http://schemas.microsoft.com/office/excel/2006/main">
          <x14:cfRule type="containsText" priority="7" operator="containsText" id="{78F8A8C3-45C3-4EDC-8BD7-7406C9524203}">
            <xm:f>NOT(ISERROR(SEARCH("SUFICIENTE",I24)))</xm:f>
            <xm:f>"SUFICIENTE"</xm:f>
            <x14:dxf>
              <fill>
                <patternFill>
                  <bgColor rgb="FF92D050"/>
                </patternFill>
              </fill>
            </x14:dxf>
          </x14:cfRule>
          <x14:cfRule type="containsText" priority="8" operator="containsText" id="{B6BDC820-0807-4D62-B442-D511037037AC}">
            <xm:f>NOT(ISERROR(SEARCH("ACEPTABLE",I24)))</xm:f>
            <xm:f>"ACEPTABLE"</xm:f>
            <x14:dxf>
              <fill>
                <patternFill>
                  <bgColor rgb="FFFFFF00"/>
                </patternFill>
              </fill>
            </x14:dxf>
          </x14:cfRule>
          <x14:cfRule type="containsText" priority="9" operator="containsText" id="{CF5BC42D-7703-454A-AE7E-DC93267F9660}">
            <xm:f>NOT(ISERROR(SEARCH("DEFICIENTE",I24)))</xm:f>
            <xm:f>"DEFICIENTE"</xm:f>
            <x14:dxf>
              <fill>
                <patternFill>
                  <bgColor rgb="FFFF5050"/>
                </patternFill>
              </fill>
            </x14:dxf>
          </x14:cfRule>
          <xm:sqref>I24</xm:sqref>
        </x14:conditionalFormatting>
        <x14:conditionalFormatting xmlns:xm="http://schemas.microsoft.com/office/excel/2006/main">
          <x14:cfRule type="containsText" priority="4" operator="containsText" id="{94A7CE21-EDA5-41CE-8A20-6D2234B6CC3B}">
            <xm:f>NOT(ISERROR(SEARCH("SUFICIENTE",I25)))</xm:f>
            <xm:f>"SUFICIENTE"</xm:f>
            <x14:dxf>
              <fill>
                <patternFill>
                  <bgColor rgb="FF92D050"/>
                </patternFill>
              </fill>
            </x14:dxf>
          </x14:cfRule>
          <x14:cfRule type="containsText" priority="6" operator="containsText" id="{FCB3D8CC-113F-4F8C-BD4E-162A24DB7E90}">
            <xm:f>NOT(ISERROR(SEARCH("DEFICIENTE",I25)))</xm:f>
            <xm:f>"DEFICIENTE"</xm:f>
            <x14:dxf>
              <fill>
                <patternFill>
                  <bgColor rgb="FFFF5050"/>
                </patternFill>
              </fill>
            </x14:dxf>
          </x14:cfRule>
          <xm:sqref>I25</xm:sqref>
        </x14:conditionalFormatting>
        <x14:conditionalFormatting xmlns:xm="http://schemas.microsoft.com/office/excel/2006/main">
          <x14:cfRule type="containsText" priority="2" operator="containsText" id="{9D901451-0724-4DB5-B6A0-6C8401008236}">
            <xm:f>NOT(ISERROR(SEARCH("ACEPTABLE",I26)))</xm:f>
            <xm:f>"ACEPTABLE"</xm:f>
            <x14:dxf>
              <fill>
                <patternFill>
                  <bgColor rgb="FFFFFF00"/>
                </patternFill>
              </fill>
            </x14:dxf>
          </x14:cfRule>
          <x14:cfRule type="containsText" priority="3" operator="containsText" id="{33111117-2AD8-4F3F-AAE6-CC19ED3B6021}">
            <xm:f>NOT(ISERROR(SEARCH("DEFICIENTE",I26)))</xm:f>
            <xm:f>"DEFICIENTE"</xm:f>
            <x14:dxf>
              <fill>
                <patternFill>
                  <bgColor rgb="FFFF5050"/>
                </patternFill>
              </fill>
            </x14:dxf>
          </x14:cfRule>
          <xm:sqref>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theme="5" tint="-0.249977111117893"/>
    <pageSetUpPr fitToPage="1"/>
  </sheetPr>
  <dimension ref="A1:H73"/>
  <sheetViews>
    <sheetView showZeros="0" tabSelected="1" workbookViewId="0">
      <selection activeCell="N17" sqref="N17"/>
    </sheetView>
  </sheetViews>
  <sheetFormatPr defaultColWidth="11.42578125" defaultRowHeight="15"/>
  <cols>
    <col min="1" max="1" width="3.7109375" customWidth="1" collapsed="1"/>
    <col min="2" max="2" width="21" customWidth="1" collapsed="1"/>
    <col min="3" max="3" width="31" customWidth="1" collapsed="1"/>
    <col min="4" max="4" width="20.5703125" customWidth="1" collapsed="1"/>
    <col min="5" max="5" width="3.7109375" customWidth="1" collapsed="1"/>
    <col min="6" max="6" width="20.85546875" customWidth="1" collapsed="1"/>
    <col min="7" max="7" width="22.140625" customWidth="1" collapsed="1"/>
    <col min="8" max="8" width="24.28515625" customWidth="1" collapsed="1"/>
  </cols>
  <sheetData>
    <row r="1" spans="1:8" ht="23.25">
      <c r="A1" s="17" t="str">
        <f>+FORMULARIO!A1</f>
        <v>PANAMA CAR RENTAL, S.A.</v>
      </c>
      <c r="B1" s="17"/>
    </row>
    <row r="2" spans="1:8" ht="17.25" customHeight="1">
      <c r="A2" s="1" t="s">
        <v>52</v>
      </c>
      <c r="B2" s="1"/>
    </row>
    <row r="3" spans="1:8" ht="17.25" customHeight="1">
      <c r="A3" s="1" t="s">
        <v>53</v>
      </c>
      <c r="B3" s="1"/>
    </row>
    <row r="4" spans="1:8" ht="18.600000000000001" customHeight="1" thickBot="1">
      <c r="A4" s="1"/>
      <c r="B4" s="1"/>
      <c r="H4" t="s">
        <v>1688</v>
      </c>
    </row>
    <row r="5" spans="1:8" s="18" customFormat="1" ht="21" customHeight="1">
      <c r="A5" s="438" t="s">
        <v>1295</v>
      </c>
      <c r="B5" s="439"/>
      <c r="C5" s="439"/>
      <c r="D5" s="439"/>
      <c r="E5" s="439"/>
      <c r="F5" s="439"/>
      <c r="G5" s="439"/>
      <c r="H5" s="440"/>
    </row>
    <row r="6" spans="1:8" ht="19.5" customHeight="1">
      <c r="A6" s="53" t="s">
        <v>55</v>
      </c>
      <c r="B6" s="62"/>
      <c r="C6" s="19"/>
      <c r="D6" s="55" t="s">
        <v>56</v>
      </c>
      <c r="E6" s="426">
        <f>+FORMULARIO!C32</f>
        <v>0</v>
      </c>
      <c r="F6" s="427"/>
      <c r="G6" s="55" t="s">
        <v>57</v>
      </c>
      <c r="H6" s="20">
        <f>+FORMULARIO!C33</f>
        <v>0</v>
      </c>
    </row>
    <row r="7" spans="1:8" ht="19.5" customHeight="1">
      <c r="A7" s="53" t="s">
        <v>58</v>
      </c>
      <c r="B7" s="62"/>
      <c r="C7" s="19">
        <f>+FORMULARIO!C34</f>
        <v>0</v>
      </c>
      <c r="D7" s="55" t="s">
        <v>59</v>
      </c>
      <c r="E7" s="426">
        <f>+FORMULARIO!C35</f>
        <v>0</v>
      </c>
      <c r="F7" s="426"/>
      <c r="G7" s="426"/>
      <c r="H7" s="437"/>
    </row>
    <row r="8" spans="1:8" ht="19.5" customHeight="1">
      <c r="A8" s="54" t="s">
        <v>60</v>
      </c>
      <c r="B8" s="61"/>
      <c r="C8" s="426">
        <f>+FORMULARIO!C36</f>
        <v>0</v>
      </c>
      <c r="D8" s="427"/>
      <c r="E8" s="55" t="s">
        <v>61</v>
      </c>
      <c r="F8" s="61"/>
      <c r="G8" s="441">
        <f>+FORMULARIO!C37</f>
        <v>0</v>
      </c>
      <c r="H8" s="442"/>
    </row>
    <row r="9" spans="1:8" ht="19.5" customHeight="1">
      <c r="A9" s="54" t="s">
        <v>62</v>
      </c>
      <c r="B9" s="61"/>
      <c r="C9" s="426">
        <f>+FORMULARIO!C38</f>
        <v>0</v>
      </c>
      <c r="D9" s="427"/>
      <c r="E9" s="55" t="s">
        <v>63</v>
      </c>
      <c r="F9" s="61"/>
      <c r="G9" s="426">
        <f>+FORMULARIO!C39</f>
        <v>0</v>
      </c>
      <c r="H9" s="437"/>
    </row>
    <row r="10" spans="1:8" ht="19.5" customHeight="1">
      <c r="A10" s="54" t="s">
        <v>64</v>
      </c>
      <c r="B10" s="61"/>
      <c r="C10" s="426">
        <f>+FORMULARIO!C40</f>
        <v>0</v>
      </c>
      <c r="D10" s="427"/>
      <c r="E10" s="55" t="s">
        <v>65</v>
      </c>
      <c r="F10" s="61"/>
      <c r="G10" s="430"/>
      <c r="H10" s="429"/>
    </row>
    <row r="11" spans="1:8" ht="19.5" customHeight="1">
      <c r="A11" s="54" t="s">
        <v>66</v>
      </c>
      <c r="B11" s="61"/>
      <c r="C11" s="426">
        <f>+FORMULARIO!C42</f>
        <v>0</v>
      </c>
      <c r="D11" s="427"/>
      <c r="E11" s="431" t="s">
        <v>67</v>
      </c>
      <c r="F11" s="432"/>
      <c r="G11" s="420" t="str">
        <f>+IF(C10&gt;0,(CONCATENATE(FORMULARIO!C46,","," ",FORMULARIO!C47,","," ",FORMULARIO!C48,","," ",FORMULARIO!C45,","," ",FORMULARIO!C44,","," ",FORMULARIO!C43,)),"")</f>
        <v/>
      </c>
      <c r="H11" s="421"/>
    </row>
    <row r="12" spans="1:8" ht="19.5" customHeight="1">
      <c r="A12" s="54" t="s">
        <v>68</v>
      </c>
      <c r="B12" s="61"/>
      <c r="C12" s="426">
        <f>+FORMULARIO!C49</f>
        <v>0</v>
      </c>
      <c r="D12" s="427"/>
      <c r="E12" s="433"/>
      <c r="F12" s="434"/>
      <c r="G12" s="422"/>
      <c r="H12" s="423"/>
    </row>
    <row r="13" spans="1:8" ht="19.5" customHeight="1">
      <c r="A13" s="54" t="s">
        <v>69</v>
      </c>
      <c r="B13" s="61"/>
      <c r="C13" s="426">
        <f>+FORMULARIO!C50</f>
        <v>0</v>
      </c>
      <c r="D13" s="427"/>
      <c r="E13" s="435"/>
      <c r="F13" s="436"/>
      <c r="G13" s="424"/>
      <c r="H13" s="425"/>
    </row>
    <row r="14" spans="1:8" ht="19.5" customHeight="1">
      <c r="A14" s="54" t="s">
        <v>70</v>
      </c>
      <c r="B14" s="61"/>
      <c r="C14" s="109">
        <f>+FORMULARIO!C51</f>
        <v>0</v>
      </c>
      <c r="D14" s="55" t="s">
        <v>71</v>
      </c>
      <c r="E14" s="426">
        <f>+FORMULARIO!C52</f>
        <v>0</v>
      </c>
      <c r="F14" s="427"/>
      <c r="G14" s="55" t="s">
        <v>72</v>
      </c>
      <c r="H14" s="110">
        <f>+FORMULARIO!C53</f>
        <v>0</v>
      </c>
    </row>
    <row r="15" spans="1:8" ht="21" customHeight="1">
      <c r="A15" s="385" t="s">
        <v>73</v>
      </c>
      <c r="B15" s="218"/>
      <c r="C15" s="218"/>
      <c r="D15" s="218"/>
      <c r="E15" s="218"/>
      <c r="F15" s="218"/>
      <c r="G15" s="218"/>
      <c r="H15" s="386"/>
    </row>
    <row r="16" spans="1:8" ht="21" customHeight="1">
      <c r="A16" s="212"/>
      <c r="B16" s="388" t="s">
        <v>1684</v>
      </c>
      <c r="C16" s="388"/>
      <c r="D16" s="388"/>
      <c r="E16" s="388"/>
      <c r="F16" s="388"/>
      <c r="G16" s="388"/>
      <c r="H16" s="389"/>
    </row>
    <row r="17" spans="1:8" ht="86.1" customHeight="1">
      <c r="A17" s="54" t="s">
        <v>74</v>
      </c>
      <c r="B17" s="61"/>
      <c r="C17" s="426"/>
      <c r="D17" s="427"/>
      <c r="E17" s="55" t="s">
        <v>75</v>
      </c>
      <c r="F17" s="61"/>
      <c r="G17" s="428"/>
      <c r="H17" s="429"/>
    </row>
    <row r="18" spans="1:8" ht="19.5" customHeight="1">
      <c r="A18" s="54" t="s">
        <v>76</v>
      </c>
      <c r="B18" s="61"/>
      <c r="C18" s="426">
        <f>+FORMULARIO!C57</f>
        <v>0</v>
      </c>
      <c r="D18" s="427"/>
      <c r="E18" s="392" t="s">
        <v>77</v>
      </c>
      <c r="F18" s="392"/>
      <c r="G18" s="420">
        <f>+FORMULARIO!C58</f>
        <v>0</v>
      </c>
      <c r="H18" s="421"/>
    </row>
    <row r="19" spans="1:8" ht="19.5" customHeight="1">
      <c r="A19" s="54" t="s">
        <v>69</v>
      </c>
      <c r="B19" s="61"/>
      <c r="C19" s="426">
        <f>+FORMULARIO!C62</f>
        <v>0</v>
      </c>
      <c r="D19" s="427"/>
      <c r="E19" s="419"/>
      <c r="F19" s="419"/>
      <c r="G19" s="422"/>
      <c r="H19" s="423"/>
    </row>
    <row r="20" spans="1:8" ht="19.5" customHeight="1">
      <c r="A20" s="54" t="s">
        <v>1637</v>
      </c>
      <c r="B20" s="61"/>
      <c r="C20" s="426">
        <f>+FORMULARIO!C60</f>
        <v>0</v>
      </c>
      <c r="D20" s="427"/>
      <c r="E20" s="395"/>
      <c r="F20" s="395"/>
      <c r="G20" s="424"/>
      <c r="H20" s="425"/>
    </row>
    <row r="21" spans="1:8" ht="21" customHeight="1">
      <c r="A21" s="385" t="s">
        <v>1682</v>
      </c>
      <c r="B21" s="218"/>
      <c r="C21" s="218"/>
      <c r="D21" s="218"/>
      <c r="E21" s="218"/>
      <c r="F21" s="218"/>
      <c r="G21" s="218"/>
      <c r="H21" s="386"/>
    </row>
    <row r="22" spans="1:8" ht="20.25" customHeight="1">
      <c r="A22" s="413" t="s">
        <v>80</v>
      </c>
      <c r="B22" s="414"/>
      <c r="C22" s="414"/>
      <c r="D22" s="414"/>
      <c r="E22" s="414"/>
      <c r="F22" s="414"/>
      <c r="G22" s="414"/>
      <c r="H22" s="415"/>
    </row>
    <row r="23" spans="1:8" ht="27" customHeight="1">
      <c r="A23" s="57"/>
      <c r="B23" s="58"/>
      <c r="C23" s="58"/>
      <c r="D23" s="56" t="str">
        <f>+IF(FORMULARIO!G64=1,1,"")</f>
        <v/>
      </c>
      <c r="E23" s="56"/>
      <c r="F23" s="56" t="str">
        <f>+IF(FORMULARIO!G65=1,1,"")</f>
        <v/>
      </c>
      <c r="G23" s="58"/>
      <c r="H23" s="59"/>
    </row>
    <row r="24" spans="1:8" ht="21" customHeight="1">
      <c r="A24" s="387" t="s">
        <v>1683</v>
      </c>
      <c r="B24" s="388"/>
      <c r="C24" s="388"/>
      <c r="D24" s="388"/>
      <c r="E24" s="388"/>
      <c r="F24" s="388"/>
      <c r="G24" s="388"/>
      <c r="H24" s="389"/>
    </row>
    <row r="25" spans="1:8" ht="28.5" customHeight="1">
      <c r="A25" s="413" t="s">
        <v>82</v>
      </c>
      <c r="B25" s="414"/>
      <c r="C25" s="414"/>
      <c r="D25" s="414"/>
      <c r="E25" s="414"/>
      <c r="F25" s="414"/>
      <c r="G25" s="414"/>
      <c r="H25" s="415"/>
    </row>
    <row r="26" spans="1:8" ht="27" customHeight="1">
      <c r="A26" s="21"/>
      <c r="B26" s="22"/>
      <c r="C26" s="22"/>
      <c r="D26" s="56" t="str">
        <f>+IF(FORMULARIO!G67=1,1,"")</f>
        <v/>
      </c>
      <c r="E26" s="56"/>
      <c r="F26" s="56" t="str">
        <f>+IF(FORMULARIO!G68=1,1,"")</f>
        <v/>
      </c>
      <c r="G26" s="22"/>
      <c r="H26" s="23"/>
    </row>
    <row r="27" spans="1:8" ht="21" customHeight="1">
      <c r="A27" s="385" t="s">
        <v>83</v>
      </c>
      <c r="B27" s="218"/>
      <c r="C27" s="218"/>
      <c r="D27" s="218"/>
      <c r="E27" s="218"/>
      <c r="F27" s="218"/>
      <c r="G27" s="218"/>
      <c r="H27" s="386"/>
    </row>
    <row r="28" spans="1:8" ht="28.5" customHeight="1">
      <c r="A28" s="413" t="s">
        <v>84</v>
      </c>
      <c r="B28" s="414"/>
      <c r="C28" s="414"/>
      <c r="D28" s="414"/>
      <c r="E28" s="414"/>
      <c r="F28" s="414"/>
      <c r="G28" s="414"/>
      <c r="H28" s="415"/>
    </row>
    <row r="29" spans="1:8" ht="28.5" customHeight="1">
      <c r="A29" s="416"/>
      <c r="B29" s="417"/>
      <c r="C29" s="417"/>
      <c r="D29" s="417"/>
      <c r="E29" s="417"/>
      <c r="F29" s="417"/>
      <c r="G29" s="417"/>
      <c r="H29" s="418"/>
    </row>
    <row r="30" spans="1:8" ht="21" customHeight="1">
      <c r="A30" s="385" t="s">
        <v>85</v>
      </c>
      <c r="B30" s="218"/>
      <c r="C30" s="218"/>
      <c r="D30" s="218"/>
      <c r="E30" s="218"/>
      <c r="F30" s="218"/>
      <c r="G30" s="218"/>
      <c r="H30" s="386"/>
    </row>
    <row r="31" spans="1:8" ht="28.5" customHeight="1">
      <c r="A31" s="413" t="s">
        <v>1284</v>
      </c>
      <c r="B31" s="414"/>
      <c r="C31" s="414"/>
      <c r="D31" s="414"/>
      <c r="E31" s="414"/>
      <c r="F31" s="414"/>
      <c r="G31" s="414"/>
      <c r="H31" s="415"/>
    </row>
    <row r="32" spans="1:8" ht="27" customHeight="1">
      <c r="A32" s="21"/>
      <c r="B32" s="22"/>
      <c r="C32" s="22"/>
      <c r="D32" s="56" t="str">
        <f>+IF(FORMULARIO!G72&gt;=1,1,"")</f>
        <v/>
      </c>
      <c r="E32" s="56"/>
      <c r="F32" s="56" t="str">
        <f>+IF(FORMULARIO!G73&gt;=1,1,"")</f>
        <v/>
      </c>
      <c r="G32" s="22"/>
      <c r="H32" s="23"/>
    </row>
    <row r="33" spans="1:8" ht="21" customHeight="1">
      <c r="A33" s="385" t="s">
        <v>86</v>
      </c>
      <c r="B33" s="218"/>
      <c r="C33" s="218"/>
      <c r="D33" s="218"/>
      <c r="E33" s="218"/>
      <c r="F33" s="218"/>
      <c r="G33" s="218"/>
      <c r="H33" s="386"/>
    </row>
    <row r="34" spans="1:8" ht="43.5" customHeight="1">
      <c r="A34" s="410" t="s">
        <v>87</v>
      </c>
      <c r="B34" s="411"/>
      <c r="C34" s="411"/>
      <c r="D34" s="411"/>
      <c r="E34" s="411"/>
      <c r="F34" s="411"/>
      <c r="G34" s="411"/>
      <c r="H34" s="412"/>
    </row>
    <row r="35" spans="1:8" ht="24.75" customHeight="1">
      <c r="A35" s="401" t="s">
        <v>88</v>
      </c>
      <c r="B35" s="402"/>
      <c r="C35" s="403"/>
      <c r="D35" s="404" t="s">
        <v>1685</v>
      </c>
      <c r="E35" s="405"/>
      <c r="F35" s="405"/>
      <c r="G35" s="405"/>
      <c r="H35" s="406"/>
    </row>
    <row r="36" spans="1:8" ht="27" customHeight="1">
      <c r="A36" s="78"/>
      <c r="B36" s="56" t="str">
        <f>+IF(FORMULARIO!G75&gt;=1,1,"")</f>
        <v/>
      </c>
      <c r="C36" s="56" t="str">
        <f>+IF(FORMULARIO!G76&gt;=1,1,"")</f>
        <v/>
      </c>
      <c r="D36" s="407">
        <f>+FORMULARIO!C77</f>
        <v>0</v>
      </c>
      <c r="E36" s="408"/>
      <c r="F36" s="408"/>
      <c r="G36" s="408"/>
      <c r="H36" s="409"/>
    </row>
    <row r="37" spans="1:8" ht="21" customHeight="1">
      <c r="A37" s="385" t="s">
        <v>90</v>
      </c>
      <c r="B37" s="218"/>
      <c r="C37" s="218"/>
      <c r="D37" s="218"/>
      <c r="E37" s="218"/>
      <c r="F37" s="218"/>
      <c r="G37" s="218"/>
      <c r="H37" s="386"/>
    </row>
    <row r="38" spans="1:8" ht="27" customHeight="1">
      <c r="A38" s="391" t="s">
        <v>1291</v>
      </c>
      <c r="B38" s="392"/>
      <c r="C38" s="393"/>
      <c r="D38" s="60" t="s">
        <v>91</v>
      </c>
      <c r="E38" s="397" t="s">
        <v>92</v>
      </c>
      <c r="F38" s="398"/>
      <c r="G38" s="60" t="s">
        <v>93</v>
      </c>
      <c r="H38" s="79" t="s">
        <v>94</v>
      </c>
    </row>
    <row r="39" spans="1:8" ht="27" customHeight="1">
      <c r="A39" s="394"/>
      <c r="B39" s="395"/>
      <c r="C39" s="396"/>
      <c r="D39" s="49" t="str">
        <f>+IF(FORMULARIO!C80&gt;=1,1,"")</f>
        <v/>
      </c>
      <c r="E39" s="399" t="str">
        <f>+IF(FORMULARIO!D80&gt;=1,1,"")</f>
        <v/>
      </c>
      <c r="F39" s="400"/>
      <c r="G39" s="49" t="str">
        <f>+IF(FORMULARIO!F80&gt;=1,1,"")</f>
        <v/>
      </c>
      <c r="H39" s="80" t="str">
        <f>+IF(FORMULARIO!G80&gt;=1,1,"")</f>
        <v/>
      </c>
    </row>
    <row r="40" spans="1:8" ht="27" customHeight="1">
      <c r="A40" s="391" t="s">
        <v>1290</v>
      </c>
      <c r="B40" s="392"/>
      <c r="C40" s="393"/>
      <c r="D40" s="60" t="s">
        <v>91</v>
      </c>
      <c r="E40" s="397" t="s">
        <v>92</v>
      </c>
      <c r="F40" s="398"/>
      <c r="G40" s="60" t="s">
        <v>93</v>
      </c>
      <c r="H40" s="79" t="s">
        <v>94</v>
      </c>
    </row>
    <row r="41" spans="1:8" ht="27" customHeight="1">
      <c r="A41" s="394"/>
      <c r="B41" s="395"/>
      <c r="C41" s="396"/>
      <c r="D41" s="49" t="str">
        <f>+IF(FORMULARIO!C82&gt;=1,1,"")</f>
        <v/>
      </c>
      <c r="E41" s="399" t="str">
        <f>+IF(FORMULARIO!D82&gt;=1,1,"")</f>
        <v/>
      </c>
      <c r="F41" s="400"/>
      <c r="G41" s="49" t="str">
        <f>+IF(FORMULARIO!F82&gt;=1,1,"")</f>
        <v/>
      </c>
      <c r="H41" s="80" t="str">
        <f>+IF(FORMULARIO!G82&gt;=1,1,"")</f>
        <v/>
      </c>
    </row>
    <row r="42" spans="1:8" ht="21" customHeight="1"/>
    <row r="43" spans="1:8" ht="21" customHeight="1">
      <c r="A43" s="364" t="s">
        <v>1285</v>
      </c>
      <c r="B43" s="364"/>
      <c r="C43" s="364"/>
      <c r="D43" s="364"/>
      <c r="E43" s="364"/>
      <c r="F43" s="364"/>
      <c r="G43" s="364"/>
      <c r="H43" s="364"/>
    </row>
    <row r="44" spans="1:8" ht="33.75" customHeight="1">
      <c r="A44" s="443" t="s">
        <v>1686</v>
      </c>
      <c r="B44" s="443"/>
      <c r="C44" s="443"/>
      <c r="D44" s="443"/>
      <c r="E44" s="443"/>
      <c r="F44" s="443"/>
      <c r="G44" s="443"/>
      <c r="H44" s="443"/>
    </row>
    <row r="45" spans="1:8" ht="21" customHeight="1"/>
    <row r="46" spans="1:8" ht="21" customHeight="1"/>
    <row r="47" spans="1:8" ht="21" customHeight="1"/>
    <row r="48" spans="1:8" ht="21" customHeight="1"/>
    <row r="49" spans="1:8" ht="21" customHeight="1"/>
    <row r="50" spans="1:8" ht="21" customHeight="1"/>
    <row r="51" spans="1:8" ht="21" customHeight="1"/>
    <row r="52" spans="1:8" ht="21" customHeight="1"/>
    <row r="53" spans="1:8" ht="21" customHeight="1"/>
    <row r="54" spans="1:8" s="24" customFormat="1" ht="15.75" customHeight="1">
      <c r="A54"/>
      <c r="B54"/>
      <c r="C54"/>
      <c r="D54"/>
      <c r="E54"/>
      <c r="F54"/>
      <c r="G54"/>
      <c r="H54"/>
    </row>
    <row r="55" spans="1:8" s="24" customFormat="1" ht="33" customHeight="1">
      <c r="A55"/>
      <c r="B55"/>
      <c r="C55"/>
      <c r="D55"/>
      <c r="E55"/>
      <c r="F55"/>
      <c r="G55"/>
      <c r="H55"/>
    </row>
    <row r="56" spans="1:8" s="24" customFormat="1" ht="15.75" customHeight="1">
      <c r="A56"/>
      <c r="B56"/>
      <c r="C56"/>
      <c r="D56"/>
      <c r="E56"/>
      <c r="F56"/>
      <c r="G56"/>
      <c r="H56"/>
    </row>
    <row r="57" spans="1:8" s="24" customFormat="1" ht="15.75" customHeight="1">
      <c r="A57"/>
      <c r="B57"/>
      <c r="C57"/>
      <c r="D57"/>
      <c r="E57"/>
      <c r="F57"/>
      <c r="G57"/>
      <c r="H57"/>
    </row>
    <row r="58" spans="1:8" s="24" customFormat="1" ht="15.75" customHeight="1">
      <c r="A58"/>
      <c r="B58"/>
      <c r="C58"/>
      <c r="D58"/>
      <c r="E58"/>
      <c r="F58"/>
      <c r="G58"/>
      <c r="H58"/>
    </row>
    <row r="59" spans="1:8" s="24" customFormat="1" ht="15.75" customHeight="1">
      <c r="A59"/>
      <c r="B59"/>
      <c r="C59"/>
      <c r="D59"/>
      <c r="E59"/>
      <c r="F59"/>
      <c r="G59"/>
      <c r="H59"/>
    </row>
    <row r="60" spans="1:8" s="24" customFormat="1" ht="15.75" customHeight="1">
      <c r="A60"/>
      <c r="B60"/>
      <c r="C60"/>
      <c r="D60"/>
      <c r="E60"/>
      <c r="F60"/>
      <c r="G60"/>
      <c r="H60"/>
    </row>
    <row r="61" spans="1:8" s="24" customFormat="1" ht="15.75" customHeight="1">
      <c r="A61"/>
      <c r="B61"/>
      <c r="C61"/>
      <c r="D61"/>
      <c r="E61"/>
      <c r="F61"/>
      <c r="G61"/>
      <c r="H61"/>
    </row>
    <row r="62" spans="1:8" s="24" customFormat="1" ht="15.75" customHeight="1">
      <c r="A62"/>
      <c r="B62"/>
      <c r="C62"/>
      <c r="D62"/>
      <c r="E62"/>
      <c r="F62"/>
      <c r="G62"/>
      <c r="H62"/>
    </row>
    <row r="63" spans="1:8" s="24" customFormat="1" ht="30" customHeight="1">
      <c r="A63"/>
      <c r="B63"/>
      <c r="C63"/>
      <c r="D63"/>
      <c r="E63"/>
      <c r="F63"/>
      <c r="G63"/>
      <c r="H63"/>
    </row>
    <row r="64" spans="1:8" ht="21" customHeight="1"/>
    <row r="65" ht="15.75" customHeight="1"/>
    <row r="66" ht="43.5" customHeight="1"/>
    <row r="67" ht="21" customHeight="1"/>
    <row r="68" ht="21" customHeight="1"/>
    <row r="69" ht="43.5" customHeight="1"/>
    <row r="70" ht="21" customHeight="1"/>
    <row r="71" ht="43.5" customHeight="1"/>
    <row r="73" ht="47.25" customHeight="1"/>
  </sheetData>
  <mergeCells count="47">
    <mergeCell ref="A44:H44"/>
    <mergeCell ref="C9:D9"/>
    <mergeCell ref="G9:H9"/>
    <mergeCell ref="A5:H5"/>
    <mergeCell ref="E6:F6"/>
    <mergeCell ref="E7:H7"/>
    <mergeCell ref="C8:D8"/>
    <mergeCell ref="G8:H8"/>
    <mergeCell ref="C10:D10"/>
    <mergeCell ref="G10:H10"/>
    <mergeCell ref="C11:D11"/>
    <mergeCell ref="E11:F13"/>
    <mergeCell ref="G11:H13"/>
    <mergeCell ref="C12:D12"/>
    <mergeCell ref="C13:D13"/>
    <mergeCell ref="E18:F20"/>
    <mergeCell ref="G18:H20"/>
    <mergeCell ref="C20:D20"/>
    <mergeCell ref="E14:F14"/>
    <mergeCell ref="A15:H15"/>
    <mergeCell ref="C17:D17"/>
    <mergeCell ref="G17:H17"/>
    <mergeCell ref="C18:D18"/>
    <mergeCell ref="C19:D19"/>
    <mergeCell ref="B16:H16"/>
    <mergeCell ref="A34:H34"/>
    <mergeCell ref="A21:H21"/>
    <mergeCell ref="A22:H22"/>
    <mergeCell ref="A24:H24"/>
    <mergeCell ref="A25:H25"/>
    <mergeCell ref="A27:H27"/>
    <mergeCell ref="A28:H28"/>
    <mergeCell ref="A30:H30"/>
    <mergeCell ref="A31:H31"/>
    <mergeCell ref="A33:H33"/>
    <mergeCell ref="A29:H29"/>
    <mergeCell ref="A35:C35"/>
    <mergeCell ref="D35:H35"/>
    <mergeCell ref="D36:H36"/>
    <mergeCell ref="A37:H37"/>
    <mergeCell ref="A38:C39"/>
    <mergeCell ref="E38:F38"/>
    <mergeCell ref="E39:F39"/>
    <mergeCell ref="A40:C41"/>
    <mergeCell ref="E40:F40"/>
    <mergeCell ref="E41:F41"/>
    <mergeCell ref="A43:H43"/>
  </mergeCells>
  <conditionalFormatting sqref="E23">
    <cfRule type="iconSet" priority="17">
      <iconSet iconSet="3Symbols2" showValue="0">
        <cfvo type="percent" val="0"/>
        <cfvo type="num" val="1"/>
        <cfvo type="num" val="1"/>
      </iconSet>
    </cfRule>
  </conditionalFormatting>
  <conditionalFormatting sqref="C36">
    <cfRule type="iconSet" priority="16">
      <iconSet iconSet="3Symbols2" showValue="0">
        <cfvo type="percent" val="0"/>
        <cfvo type="num" val="1"/>
        <cfvo type="num" val="1"/>
      </iconSet>
    </cfRule>
  </conditionalFormatting>
  <conditionalFormatting sqref="A36:B36">
    <cfRule type="iconSet" priority="15">
      <iconSet iconSet="3Symbols2" showValue="0">
        <cfvo type="percent" val="0"/>
        <cfvo type="num" val="1"/>
        <cfvo type="num" val="1"/>
      </iconSet>
    </cfRule>
  </conditionalFormatting>
  <conditionalFormatting sqref="D39">
    <cfRule type="iconSet" priority="14">
      <iconSet iconSet="3Symbols2" showValue="0">
        <cfvo type="percent" val="0"/>
        <cfvo type="num" val="1"/>
        <cfvo type="num" val="1"/>
      </iconSet>
    </cfRule>
  </conditionalFormatting>
  <conditionalFormatting sqref="D23">
    <cfRule type="iconSet" priority="13">
      <iconSet iconSet="3Symbols2" showValue="0">
        <cfvo type="percent" val="0"/>
        <cfvo type="num" val="1"/>
        <cfvo type="num" val="1"/>
      </iconSet>
    </cfRule>
  </conditionalFormatting>
  <conditionalFormatting sqref="E26:F26">
    <cfRule type="iconSet" priority="12">
      <iconSet iconSet="3Symbols2" showValue="0">
        <cfvo type="percent" val="0"/>
        <cfvo type="num" val="1"/>
        <cfvo type="num" val="1"/>
      </iconSet>
    </cfRule>
  </conditionalFormatting>
  <conditionalFormatting sqref="D26">
    <cfRule type="iconSet" priority="11">
      <iconSet iconSet="3Symbols2" showValue="0">
        <cfvo type="percent" val="0"/>
        <cfvo type="num" val="1"/>
        <cfvo type="num" val="1"/>
      </iconSet>
    </cfRule>
  </conditionalFormatting>
  <conditionalFormatting sqref="E32">
    <cfRule type="iconSet" priority="10">
      <iconSet iconSet="3Symbols2" showValue="0">
        <cfvo type="percent" val="0"/>
        <cfvo type="num" val="1"/>
        <cfvo type="num" val="1"/>
      </iconSet>
    </cfRule>
  </conditionalFormatting>
  <conditionalFormatting sqref="D32">
    <cfRule type="iconSet" priority="9">
      <iconSet iconSet="3Symbols2" showValue="0">
        <cfvo type="percent" val="0"/>
        <cfvo type="num" val="1"/>
        <cfvo type="num" val="1"/>
      </iconSet>
    </cfRule>
  </conditionalFormatting>
  <conditionalFormatting sqref="E39 G39:H39">
    <cfRule type="iconSet" priority="8">
      <iconSet iconSet="3Symbols2" showValue="0">
        <cfvo type="percent" val="0"/>
        <cfvo type="num" val="1"/>
        <cfvo type="num" val="1"/>
      </iconSet>
    </cfRule>
  </conditionalFormatting>
  <conditionalFormatting sqref="D41:E41 G41:H41">
    <cfRule type="iconSet" priority="7">
      <iconSet iconSet="3Symbols2" showValue="0">
        <cfvo type="percent" val="0"/>
        <cfvo type="num" val="1"/>
        <cfvo type="num" val="1"/>
      </iconSet>
    </cfRule>
  </conditionalFormatting>
  <conditionalFormatting sqref="F23">
    <cfRule type="iconSet" priority="6">
      <iconSet iconSet="3Symbols2" showValue="0">
        <cfvo type="percent" val="0"/>
        <cfvo type="num" val="1"/>
        <cfvo type="num" val="1"/>
      </iconSet>
    </cfRule>
  </conditionalFormatting>
  <conditionalFormatting sqref="F32">
    <cfRule type="iconSet" priority="5">
      <iconSet iconSet="3Symbols2" showValue="0">
        <cfvo type="percent" val="0"/>
        <cfvo type="num" val="1"/>
        <cfvo type="num" val="1"/>
      </iconSet>
    </cfRule>
  </conditionalFormatting>
  <printOptions horizontalCentered="1" verticalCentered="1"/>
  <pageMargins left="0.53" right="0.27559055118110237" top="0.55118110236220474" bottom="0.31496062992125984" header="0.31496062992125984" footer="0.31496062992125984"/>
  <pageSetup scale="4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0">
    <tabColor theme="7" tint="0.39997558519241921"/>
    <pageSetUpPr fitToPage="1"/>
  </sheetPr>
  <dimension ref="A1:I58"/>
  <sheetViews>
    <sheetView showZeros="0" workbookViewId="0">
      <selection activeCell="I1" sqref="I1"/>
    </sheetView>
  </sheetViews>
  <sheetFormatPr defaultColWidth="11.42578125" defaultRowHeight="15"/>
  <cols>
    <col min="1" max="1" width="3.7109375" customWidth="1" collapsed="1"/>
    <col min="2" max="2" width="21" customWidth="1" collapsed="1"/>
    <col min="3" max="3" width="24.5703125" customWidth="1" collapsed="1"/>
    <col min="4" max="4" width="22.140625" customWidth="1" collapsed="1"/>
    <col min="5" max="5" width="6.28515625" customWidth="1" collapsed="1"/>
    <col min="6" max="6" width="20.85546875" customWidth="1" collapsed="1"/>
    <col min="7" max="7" width="22.140625" customWidth="1" collapsed="1"/>
    <col min="8" max="9" width="16.28515625" customWidth="1" collapsed="1"/>
  </cols>
  <sheetData>
    <row r="1" spans="1:9" ht="23.25">
      <c r="A1" s="17" t="str">
        <f>+FORMULARIO!A1</f>
        <v>PANAMA CAR RENTAL, S.A.</v>
      </c>
      <c r="B1" s="17"/>
    </row>
    <row r="2" spans="1:9" ht="17.25" customHeight="1">
      <c r="A2" s="1" t="s">
        <v>1311</v>
      </c>
      <c r="B2" s="1"/>
    </row>
    <row r="3" spans="1:9" ht="17.25" customHeight="1">
      <c r="A3" s="1" t="s">
        <v>1312</v>
      </c>
      <c r="B3" s="1"/>
    </row>
    <row r="4" spans="1:9" ht="8.25" customHeight="1" thickBot="1">
      <c r="A4" s="1"/>
      <c r="B4" s="1"/>
    </row>
    <row r="5" spans="1:9" s="18" customFormat="1" ht="21" customHeight="1">
      <c r="A5" s="438" t="s">
        <v>1295</v>
      </c>
      <c r="B5" s="439"/>
      <c r="C5" s="439"/>
      <c r="D5" s="439"/>
      <c r="E5" s="439"/>
      <c r="F5" s="439"/>
      <c r="G5" s="439"/>
      <c r="H5" s="439"/>
      <c r="I5" s="440"/>
    </row>
    <row r="6" spans="1:9" ht="19.5" customHeight="1">
      <c r="A6" s="53" t="s">
        <v>55</v>
      </c>
      <c r="B6" s="62"/>
      <c r="C6" s="118">
        <f>+FORMULARIO!C31</f>
        <v>0</v>
      </c>
      <c r="D6" s="55" t="s">
        <v>56</v>
      </c>
      <c r="E6" s="426">
        <f>+FORMULARIO!C32</f>
        <v>0</v>
      </c>
      <c r="F6" s="427"/>
      <c r="G6" s="55" t="s">
        <v>57</v>
      </c>
      <c r="H6" s="426">
        <f>+FORMULARIO!C33</f>
        <v>0</v>
      </c>
      <c r="I6" s="437"/>
    </row>
    <row r="7" spans="1:9" ht="19.5" customHeight="1">
      <c r="A7" s="53" t="s">
        <v>58</v>
      </c>
      <c r="B7" s="62"/>
      <c r="C7" s="118">
        <f>+FORMULARIO!C34</f>
        <v>0</v>
      </c>
      <c r="D7" s="55" t="s">
        <v>59</v>
      </c>
      <c r="E7" s="426">
        <f>+FORMULARIO!C35</f>
        <v>0</v>
      </c>
      <c r="F7" s="426"/>
      <c r="G7" s="426"/>
      <c r="H7" s="426"/>
      <c r="I7" s="437"/>
    </row>
    <row r="8" spans="1:9" ht="19.5" customHeight="1">
      <c r="A8" s="54" t="s">
        <v>60</v>
      </c>
      <c r="B8" s="61"/>
      <c r="C8" s="426">
        <f>+FORMULARIO!C36</f>
        <v>0</v>
      </c>
      <c r="D8" s="427"/>
      <c r="E8" s="55" t="s">
        <v>61</v>
      </c>
      <c r="F8" s="61"/>
      <c r="G8" s="441">
        <f>+FORMULARIO!C37</f>
        <v>0</v>
      </c>
      <c r="H8" s="441"/>
      <c r="I8" s="442"/>
    </row>
    <row r="9" spans="1:9" ht="19.5" customHeight="1">
      <c r="A9" s="54" t="s">
        <v>62</v>
      </c>
      <c r="B9" s="61"/>
      <c r="C9" s="426">
        <f>+FORMULARIO!C38</f>
        <v>0</v>
      </c>
      <c r="D9" s="427"/>
      <c r="E9" s="55" t="s">
        <v>63</v>
      </c>
      <c r="F9" s="426">
        <f>+FORMULARIO!C39</f>
        <v>0</v>
      </c>
      <c r="G9" s="426"/>
      <c r="H9" s="426"/>
      <c r="I9" s="437"/>
    </row>
    <row r="10" spans="1:9" ht="19.5" customHeight="1">
      <c r="A10" s="54" t="s">
        <v>64</v>
      </c>
      <c r="B10" s="61"/>
      <c r="C10" s="426">
        <f>+FORMULARIO!C40</f>
        <v>0</v>
      </c>
      <c r="D10" s="427"/>
      <c r="E10" s="55" t="s">
        <v>65</v>
      </c>
      <c r="F10" s="61"/>
      <c r="G10" s="426">
        <f>+FORMULARIO!C41</f>
        <v>0</v>
      </c>
      <c r="H10" s="426"/>
      <c r="I10" s="437"/>
    </row>
    <row r="11" spans="1:9" ht="19.5" customHeight="1">
      <c r="A11" s="54" t="s">
        <v>66</v>
      </c>
      <c r="B11" s="61"/>
      <c r="C11" s="426">
        <f>+FORMULARIO!C42</f>
        <v>0</v>
      </c>
      <c r="D11" s="427"/>
      <c r="E11" s="431" t="s">
        <v>67</v>
      </c>
      <c r="F11" s="432"/>
      <c r="G11" s="459" t="str">
        <f>+IF(C10&gt;0,(CONCATENATE(FORMULARIO!C46,","," ",FORMULARIO!C47,","," ",FORMULARIO!C48,","," ",FORMULARIO!C45,","," ",FORMULARIO!C44,","," ",FORMULARIO!C43)),"")</f>
        <v/>
      </c>
      <c r="H11" s="459"/>
      <c r="I11" s="460"/>
    </row>
    <row r="12" spans="1:9" ht="19.5" customHeight="1">
      <c r="A12" s="54" t="s">
        <v>68</v>
      </c>
      <c r="B12" s="61"/>
      <c r="C12" s="426">
        <f>+FORMULARIO!C49</f>
        <v>0</v>
      </c>
      <c r="D12" s="427"/>
      <c r="E12" s="433"/>
      <c r="F12" s="434"/>
      <c r="G12" s="461"/>
      <c r="H12" s="461"/>
      <c r="I12" s="462"/>
    </row>
    <row r="13" spans="1:9" ht="19.5" customHeight="1">
      <c r="A13" s="54" t="s">
        <v>69</v>
      </c>
      <c r="B13" s="61"/>
      <c r="C13" s="426">
        <f>+FORMULARIO!C50</f>
        <v>0</v>
      </c>
      <c r="D13" s="427"/>
      <c r="E13" s="435"/>
      <c r="F13" s="436"/>
      <c r="G13" s="408"/>
      <c r="H13" s="408"/>
      <c r="I13" s="409"/>
    </row>
    <row r="14" spans="1:9" ht="19.5" customHeight="1">
      <c r="A14" s="54" t="s">
        <v>70</v>
      </c>
      <c r="B14" s="61"/>
      <c r="C14" s="109">
        <f>+FORMULARIO!C51</f>
        <v>0</v>
      </c>
      <c r="D14" s="55" t="s">
        <v>71</v>
      </c>
      <c r="E14" s="426">
        <f>+FORMULARIO!C52</f>
        <v>0</v>
      </c>
      <c r="F14" s="427"/>
      <c r="G14" s="55" t="s">
        <v>72</v>
      </c>
      <c r="H14" s="426">
        <f>+FORMULARIO!C53</f>
        <v>0</v>
      </c>
      <c r="I14" s="437"/>
    </row>
    <row r="15" spans="1:9" ht="21" customHeight="1">
      <c r="A15" s="385" t="s">
        <v>73</v>
      </c>
      <c r="B15" s="218"/>
      <c r="C15" s="218"/>
      <c r="D15" s="218"/>
      <c r="E15" s="218"/>
      <c r="F15" s="218"/>
      <c r="G15" s="218"/>
      <c r="H15" s="218"/>
      <c r="I15" s="386"/>
    </row>
    <row r="16" spans="1:9" ht="19.5" customHeight="1">
      <c r="A16" s="54" t="s">
        <v>74</v>
      </c>
      <c r="B16" s="61"/>
      <c r="C16" s="426">
        <f>+FORMULARIO!C55</f>
        <v>0</v>
      </c>
      <c r="D16" s="427"/>
      <c r="E16" s="55" t="s">
        <v>75</v>
      </c>
      <c r="F16" s="61"/>
      <c r="G16" s="426">
        <f>+FORMULARIO!C56</f>
        <v>0</v>
      </c>
      <c r="H16" s="426"/>
      <c r="I16" s="437"/>
    </row>
    <row r="17" spans="1:9" ht="19.5" customHeight="1">
      <c r="A17" s="54" t="s">
        <v>76</v>
      </c>
      <c r="B17" s="61"/>
      <c r="C17" s="426">
        <f>+FORMULARIO!C57</f>
        <v>0</v>
      </c>
      <c r="D17" s="427"/>
      <c r="E17" s="467" t="s">
        <v>77</v>
      </c>
      <c r="F17" s="392"/>
      <c r="G17" s="469">
        <f>+FORMULARIO!C58</f>
        <v>0</v>
      </c>
      <c r="H17" s="469"/>
      <c r="I17" s="470"/>
    </row>
    <row r="18" spans="1:9" ht="19.5" customHeight="1">
      <c r="A18" s="54" t="s">
        <v>69</v>
      </c>
      <c r="B18" s="61"/>
      <c r="C18" s="426">
        <f>+FORMULARIO!C62</f>
        <v>0</v>
      </c>
      <c r="D18" s="427"/>
      <c r="E18" s="468"/>
      <c r="F18" s="395"/>
      <c r="G18" s="471"/>
      <c r="H18" s="471"/>
      <c r="I18" s="472"/>
    </row>
    <row r="19" spans="1:9" ht="19.5" customHeight="1">
      <c r="A19" s="54" t="s">
        <v>78</v>
      </c>
      <c r="B19" s="61"/>
      <c r="C19" s="109">
        <f>+FORMULARIO!C60</f>
        <v>0</v>
      </c>
      <c r="D19" s="55" t="s">
        <v>72</v>
      </c>
      <c r="E19" s="426">
        <f>+FORMULARIO!C61</f>
        <v>0</v>
      </c>
      <c r="F19" s="427"/>
      <c r="G19" s="55" t="s">
        <v>68</v>
      </c>
      <c r="H19" s="61"/>
      <c r="I19" s="110">
        <f>+FORMULARIO!C59</f>
        <v>0</v>
      </c>
    </row>
    <row r="20" spans="1:9" ht="21" customHeight="1">
      <c r="A20" s="385" t="s">
        <v>1342</v>
      </c>
      <c r="B20" s="218"/>
      <c r="C20" s="218"/>
      <c r="D20" s="218"/>
      <c r="E20" s="218"/>
      <c r="F20" s="218"/>
      <c r="G20" s="218"/>
      <c r="H20" s="218"/>
      <c r="I20" s="386"/>
    </row>
    <row r="21" spans="1:9" ht="30">
      <c r="A21" s="113" t="s">
        <v>1313</v>
      </c>
      <c r="B21" s="60" t="s">
        <v>1314</v>
      </c>
      <c r="C21" s="60" t="s">
        <v>1315</v>
      </c>
      <c r="D21" s="114" t="s">
        <v>1316</v>
      </c>
      <c r="E21" s="480" t="s">
        <v>1317</v>
      </c>
      <c r="F21" s="480"/>
      <c r="G21" s="480"/>
      <c r="H21" s="463" t="s">
        <v>1318</v>
      </c>
      <c r="I21" s="464"/>
    </row>
    <row r="22" spans="1:9" ht="21" customHeight="1">
      <c r="A22" s="113">
        <v>1</v>
      </c>
      <c r="B22" s="131">
        <f>+FORMULARIO!I11</f>
        <v>0</v>
      </c>
      <c r="C22" s="128">
        <f>+FORMULARIO!I12</f>
        <v>0</v>
      </c>
      <c r="D22" s="128">
        <f>+FORMULARIO!I13</f>
        <v>0</v>
      </c>
      <c r="E22" s="382">
        <f>+FORMULARIO!I14</f>
        <v>0</v>
      </c>
      <c r="F22" s="382"/>
      <c r="G22" s="382"/>
      <c r="H22" s="465">
        <f>+FORMULARIO!I15</f>
        <v>0</v>
      </c>
      <c r="I22" s="466"/>
    </row>
    <row r="23" spans="1:9" ht="21" customHeight="1">
      <c r="A23" s="113">
        <v>2</v>
      </c>
      <c r="B23" s="131">
        <f>+FORMULARIO!J11</f>
        <v>0</v>
      </c>
      <c r="C23" s="128">
        <f>+FORMULARIO!J12</f>
        <v>0</v>
      </c>
      <c r="D23" s="128">
        <f>+FORMULARIO!J13</f>
        <v>0</v>
      </c>
      <c r="E23" s="382">
        <f>+FORMULARIO!J14</f>
        <v>0</v>
      </c>
      <c r="F23" s="382"/>
      <c r="G23" s="382"/>
      <c r="H23" s="465">
        <f>+FORMULARIO!J15</f>
        <v>0</v>
      </c>
      <c r="I23" s="466"/>
    </row>
    <row r="24" spans="1:9" ht="21" customHeight="1">
      <c r="A24" s="113">
        <v>3</v>
      </c>
      <c r="B24" s="131">
        <f>+FORMULARIO!K11</f>
        <v>0</v>
      </c>
      <c r="C24" s="128">
        <f>+FORMULARIO!K12</f>
        <v>0</v>
      </c>
      <c r="D24" s="128">
        <f>+FORMULARIO!K13</f>
        <v>0</v>
      </c>
      <c r="E24" s="382">
        <f>+FORMULARIO!K14</f>
        <v>0</v>
      </c>
      <c r="F24" s="382"/>
      <c r="G24" s="382"/>
      <c r="H24" s="465">
        <f>+FORMULARIO!K15</f>
        <v>0</v>
      </c>
      <c r="I24" s="466"/>
    </row>
    <row r="25" spans="1:9" ht="21" customHeight="1">
      <c r="A25" s="54"/>
      <c r="B25" s="61"/>
      <c r="C25" s="115"/>
      <c r="D25" s="115"/>
      <c r="E25" s="477" t="s">
        <v>1319</v>
      </c>
      <c r="F25" s="477"/>
      <c r="G25" s="478"/>
      <c r="H25" s="475">
        <f>SUM(H22:I24)</f>
        <v>0</v>
      </c>
      <c r="I25" s="476"/>
    </row>
    <row r="26" spans="1:9" ht="21" customHeight="1">
      <c r="A26" s="385" t="s">
        <v>1343</v>
      </c>
      <c r="B26" s="218"/>
      <c r="C26" s="218"/>
      <c r="D26" s="218"/>
      <c r="E26" s="218"/>
      <c r="F26" s="218"/>
      <c r="G26" s="218"/>
      <c r="H26" s="218"/>
      <c r="I26" s="386"/>
    </row>
    <row r="27" spans="1:9" ht="30" customHeight="1">
      <c r="A27" s="113" t="s">
        <v>1313</v>
      </c>
      <c r="B27" s="60" t="s">
        <v>1314</v>
      </c>
      <c r="C27" s="114" t="s">
        <v>1324</v>
      </c>
      <c r="D27" s="114" t="s">
        <v>1325</v>
      </c>
      <c r="E27" s="488" t="s">
        <v>1326</v>
      </c>
      <c r="F27" s="480"/>
      <c r="G27" s="480"/>
      <c r="H27" s="463" t="s">
        <v>1318</v>
      </c>
      <c r="I27" s="464"/>
    </row>
    <row r="28" spans="1:9" ht="31.5" customHeight="1">
      <c r="A28" s="113">
        <v>1</v>
      </c>
      <c r="B28" s="131">
        <f>+FORMULARIO!I17</f>
        <v>0</v>
      </c>
      <c r="C28" s="136">
        <f>+FORMULARIO!I18</f>
        <v>0</v>
      </c>
      <c r="D28" s="128">
        <f>+FORMULARIO!I19</f>
        <v>0</v>
      </c>
      <c r="E28" s="382">
        <f>+FORMULARIO!I20</f>
        <v>0</v>
      </c>
      <c r="F28" s="382"/>
      <c r="G28" s="382"/>
      <c r="H28" s="465">
        <f>+FORMULARIO!I21</f>
        <v>0</v>
      </c>
      <c r="I28" s="466"/>
    </row>
    <row r="29" spans="1:9" ht="31.5" customHeight="1">
      <c r="A29" s="113">
        <v>2</v>
      </c>
      <c r="B29" s="131"/>
      <c r="C29" s="128"/>
      <c r="D29" s="128"/>
      <c r="E29" s="382"/>
      <c r="F29" s="382"/>
      <c r="G29" s="382"/>
      <c r="H29" s="465"/>
      <c r="I29" s="466"/>
    </row>
    <row r="30" spans="1:9" ht="31.5" customHeight="1">
      <c r="A30" s="113">
        <v>3</v>
      </c>
      <c r="B30" s="131"/>
      <c r="C30" s="128"/>
      <c r="D30" s="128"/>
      <c r="E30" s="382"/>
      <c r="F30" s="382"/>
      <c r="G30" s="382"/>
      <c r="H30" s="465"/>
      <c r="I30" s="466"/>
    </row>
    <row r="31" spans="1:9" ht="21" customHeight="1">
      <c r="A31" s="54"/>
      <c r="B31" s="61"/>
      <c r="C31" s="115"/>
      <c r="D31" s="115"/>
      <c r="E31" s="477" t="s">
        <v>1319</v>
      </c>
      <c r="F31" s="477"/>
      <c r="G31" s="478"/>
      <c r="H31" s="475">
        <f>SUM(H28:I30)</f>
        <v>0</v>
      </c>
      <c r="I31" s="479"/>
    </row>
    <row r="32" spans="1:9" ht="21" customHeight="1">
      <c r="A32" s="385" t="s">
        <v>1327</v>
      </c>
      <c r="B32" s="218"/>
      <c r="C32" s="218"/>
      <c r="D32" s="218"/>
      <c r="E32" s="218"/>
      <c r="F32" s="218"/>
      <c r="G32" s="218"/>
      <c r="H32" s="218"/>
      <c r="I32" s="386"/>
    </row>
    <row r="33" spans="1:9" ht="21" customHeight="1">
      <c r="A33" s="481" t="s">
        <v>96</v>
      </c>
      <c r="B33" s="480"/>
      <c r="C33" s="480"/>
      <c r="D33" s="480" t="s">
        <v>1321</v>
      </c>
      <c r="E33" s="480"/>
      <c r="F33" s="480" t="s">
        <v>1322</v>
      </c>
      <c r="G33" s="480"/>
      <c r="H33" s="115"/>
      <c r="I33" s="116"/>
    </row>
    <row r="34" spans="1:9" ht="21" customHeight="1">
      <c r="A34" s="380" t="str">
        <f>+FORMULARIO!C10</f>
        <v/>
      </c>
      <c r="B34" s="382"/>
      <c r="C34" s="382"/>
      <c r="D34" s="382" t="str">
        <f>+IF(A34&gt;0,"RUC","")</f>
        <v>RUC</v>
      </c>
      <c r="E34" s="382"/>
      <c r="F34" s="382">
        <f>+IF(A34="AUTOMARKET PANAMA, S.A.",DATOS!A31,IF('RTE Pers. Natural'!A34="PANAMA CAR RENTAL, S.A.",DATOS!A32,0))</f>
        <v>0</v>
      </c>
      <c r="G34" s="382"/>
      <c r="H34" s="115"/>
      <c r="I34" s="116"/>
    </row>
    <row r="35" spans="1:9" ht="21" customHeight="1">
      <c r="A35" s="385" t="s">
        <v>1320</v>
      </c>
      <c r="B35" s="218"/>
      <c r="C35" s="218"/>
      <c r="D35" s="218"/>
      <c r="E35" s="218"/>
      <c r="F35" s="218"/>
      <c r="G35" s="218"/>
      <c r="H35" s="218"/>
      <c r="I35" s="386"/>
    </row>
    <row r="36" spans="1:9" ht="21" customHeight="1">
      <c r="A36" s="454" t="s">
        <v>100</v>
      </c>
      <c r="B36" s="455"/>
      <c r="C36" s="455"/>
      <c r="D36" s="398"/>
      <c r="E36" s="480" t="s">
        <v>1321</v>
      </c>
      <c r="F36" s="480"/>
      <c r="G36" s="60" t="s">
        <v>1322</v>
      </c>
      <c r="H36" s="397" t="s">
        <v>1323</v>
      </c>
      <c r="I36" s="473"/>
    </row>
    <row r="37" spans="1:9" ht="21" customHeight="1">
      <c r="A37" s="456">
        <f>+FORMULARIO!I23</f>
        <v>0</v>
      </c>
      <c r="B37" s="384"/>
      <c r="C37" s="384"/>
      <c r="D37" s="381"/>
      <c r="E37" s="382">
        <f>+FORMULARIO!I24</f>
        <v>0</v>
      </c>
      <c r="F37" s="382"/>
      <c r="G37" s="128">
        <f>+FORMULARIO!I25</f>
        <v>0</v>
      </c>
      <c r="H37" s="383">
        <f>+FORMULARIO!I26</f>
        <v>0</v>
      </c>
      <c r="I37" s="474"/>
    </row>
    <row r="38" spans="1:9" ht="21" customHeight="1">
      <c r="A38" s="385" t="s">
        <v>1328</v>
      </c>
      <c r="B38" s="218"/>
      <c r="C38" s="218"/>
      <c r="D38" s="218"/>
      <c r="E38" s="218"/>
      <c r="F38" s="218"/>
      <c r="G38" s="218"/>
      <c r="H38" s="218"/>
      <c r="I38" s="386"/>
    </row>
    <row r="39" spans="1:9" ht="21" customHeight="1">
      <c r="A39" s="481" t="s">
        <v>1329</v>
      </c>
      <c r="B39" s="480"/>
      <c r="C39" s="480" t="s">
        <v>1330</v>
      </c>
      <c r="D39" s="480"/>
      <c r="E39" s="480" t="s">
        <v>1331</v>
      </c>
      <c r="F39" s="480"/>
      <c r="G39" s="480"/>
      <c r="H39" s="397"/>
      <c r="I39" s="482"/>
    </row>
    <row r="40" spans="1:9" ht="44.25" customHeight="1">
      <c r="A40" s="380" t="str">
        <f>+FORMULARIO!I28</f>
        <v/>
      </c>
      <c r="B40" s="382"/>
      <c r="C40" s="382" t="str">
        <f>+FORMULARIO!I33</f>
        <v/>
      </c>
      <c r="D40" s="382"/>
      <c r="E40" s="382" t="str">
        <f>+IF(H25+H31&gt;0,(CONCATENATE(FORMULARIO!I29,","," ",FORMULARIO!I32,","," ",FORMULARIO!I30)),"")</f>
        <v/>
      </c>
      <c r="F40" s="382"/>
      <c r="G40" s="382"/>
      <c r="H40" s="383"/>
      <c r="I40" s="483"/>
    </row>
    <row r="41" spans="1:9" ht="21" customHeight="1">
      <c r="A41" s="385" t="s">
        <v>1332</v>
      </c>
      <c r="B41" s="218"/>
      <c r="C41" s="218"/>
      <c r="D41" s="218"/>
      <c r="E41" s="218"/>
      <c r="F41" s="218"/>
      <c r="G41" s="218"/>
      <c r="H41" s="218"/>
      <c r="I41" s="386"/>
    </row>
    <row r="42" spans="1:9" ht="21" customHeight="1">
      <c r="A42" s="481" t="s">
        <v>100</v>
      </c>
      <c r="B42" s="480"/>
      <c r="C42" s="480"/>
      <c r="D42" s="60" t="s">
        <v>1333</v>
      </c>
      <c r="E42" s="480" t="s">
        <v>1322</v>
      </c>
      <c r="F42" s="480"/>
      <c r="G42" s="480" t="s">
        <v>1334</v>
      </c>
      <c r="H42" s="397"/>
      <c r="I42" s="482"/>
    </row>
    <row r="43" spans="1:9" ht="44.25" customHeight="1">
      <c r="A43" s="380" t="str">
        <f>+IF(FORMULARIO!I40&gt;=1,CONCATENATE(FORMULARIO!I36," ",FORMULARIO!I37," ",FORMULARIO!I38),"N/A")</f>
        <v>N/A</v>
      </c>
      <c r="B43" s="382"/>
      <c r="C43" s="382"/>
      <c r="D43" s="128" t="str">
        <f>+IF(FORMULARIO!I40&gt;=1,FORMULARIO!I39,"N/A")</f>
        <v>N/A</v>
      </c>
      <c r="E43" s="382" t="str">
        <f>+IF(A43="N/A","N/A",FORMULARIO!I40)</f>
        <v>N/A</v>
      </c>
      <c r="F43" s="382"/>
      <c r="G43" s="484" t="str">
        <f>+IF(FORMULARIO!I40&gt;=1,(CONCATENATE(FORMULARIO!I44,","," ",FORMULARIO!I45,","," ",FORMULARIO!I46,","," ",FORMULARIO!I43,","," ",FORMULARIO!I41)),"N/A")</f>
        <v>N/A</v>
      </c>
      <c r="H43" s="390"/>
      <c r="I43" s="485"/>
    </row>
    <row r="44" spans="1:9" ht="21" customHeight="1">
      <c r="A44" s="385" t="s">
        <v>126</v>
      </c>
      <c r="B44" s="218"/>
      <c r="C44" s="218"/>
      <c r="D44" s="218"/>
      <c r="E44" s="218"/>
      <c r="F44" s="218"/>
      <c r="G44" s="218"/>
      <c r="H44" s="218"/>
      <c r="I44" s="386"/>
    </row>
    <row r="45" spans="1:9" ht="21" customHeight="1">
      <c r="A45" s="117" t="s">
        <v>1313</v>
      </c>
      <c r="B45" s="60" t="s">
        <v>151</v>
      </c>
      <c r="C45" s="60" t="s">
        <v>152</v>
      </c>
      <c r="D45" s="60" t="s">
        <v>153</v>
      </c>
      <c r="E45" s="397" t="s">
        <v>1336</v>
      </c>
      <c r="F45" s="398"/>
      <c r="G45" s="60" t="s">
        <v>1337</v>
      </c>
      <c r="H45" s="124" t="s">
        <v>1346</v>
      </c>
      <c r="I45" s="79" t="s">
        <v>1335</v>
      </c>
    </row>
    <row r="46" spans="1:9" ht="21" customHeight="1">
      <c r="A46" s="117">
        <v>1</v>
      </c>
      <c r="B46" s="128">
        <f>+FORMULARIO!I48</f>
        <v>0</v>
      </c>
      <c r="C46" s="128">
        <f>+FORMULARIO!I49</f>
        <v>0</v>
      </c>
      <c r="D46" s="128">
        <f>+FORMULARIO!I50</f>
        <v>0</v>
      </c>
      <c r="E46" s="486">
        <f>+FORMULARIO!I51</f>
        <v>0</v>
      </c>
      <c r="F46" s="382"/>
      <c r="G46" s="143">
        <f>+FORMULARIO!I52</f>
        <v>0</v>
      </c>
      <c r="H46" s="140">
        <f>+FORMULARIO!I53</f>
        <v>0</v>
      </c>
      <c r="I46" s="141">
        <f>+FORMULARIO!I54</f>
        <v>0</v>
      </c>
    </row>
    <row r="47" spans="1:9" ht="21" customHeight="1">
      <c r="A47" s="117">
        <v>2</v>
      </c>
      <c r="B47" s="128">
        <f>+FORMULARIO!J48</f>
        <v>0</v>
      </c>
      <c r="C47" s="128">
        <f>+FORMULARIO!J49</f>
        <v>0</v>
      </c>
      <c r="D47" s="128">
        <f>+FORMULARIO!J50</f>
        <v>0</v>
      </c>
      <c r="E47" s="486">
        <f>+FORMULARIO!J51</f>
        <v>0</v>
      </c>
      <c r="F47" s="382"/>
      <c r="G47" s="139">
        <f>+FORMULARIO!J52</f>
        <v>0</v>
      </c>
      <c r="H47" s="140">
        <f>+FORMULARIO!J53</f>
        <v>0</v>
      </c>
      <c r="I47" s="141">
        <f>+FORMULARIO!J54</f>
        <v>0</v>
      </c>
    </row>
    <row r="48" spans="1:9" ht="21" customHeight="1">
      <c r="A48" s="117">
        <v>3</v>
      </c>
      <c r="B48" s="128">
        <f>+FORMULARIO!K48</f>
        <v>0</v>
      </c>
      <c r="C48" s="128">
        <f>+FORMULARIO!K49</f>
        <v>0</v>
      </c>
      <c r="D48" s="128">
        <f>+FORMULARIO!K50</f>
        <v>0</v>
      </c>
      <c r="E48" s="382">
        <f>+FORMULARIO!K51</f>
        <v>0</v>
      </c>
      <c r="F48" s="382"/>
      <c r="G48" s="138">
        <f>+FORMULARIO!K52</f>
        <v>0</v>
      </c>
      <c r="H48" s="142">
        <f>+FORMULARIO!K53</f>
        <v>0</v>
      </c>
      <c r="I48" s="103">
        <f>+FORMULARIO!K54</f>
        <v>0</v>
      </c>
    </row>
    <row r="49" spans="1:9" ht="21" customHeight="1">
      <c r="A49" s="385" t="s">
        <v>103</v>
      </c>
      <c r="B49" s="218"/>
      <c r="C49" s="218"/>
      <c r="D49" s="218"/>
      <c r="E49" s="218"/>
      <c r="F49" s="218"/>
      <c r="G49" s="218"/>
      <c r="H49" s="218"/>
      <c r="I49" s="386"/>
    </row>
    <row r="50" spans="1:9" ht="15.75" customHeight="1">
      <c r="A50" s="444" t="s">
        <v>104</v>
      </c>
      <c r="B50" s="445"/>
      <c r="C50" s="446"/>
      <c r="D50" s="447"/>
      <c r="E50" s="448" t="s">
        <v>105</v>
      </c>
      <c r="F50" s="445"/>
      <c r="G50" s="446"/>
      <c r="H50" s="446"/>
      <c r="I50" s="449"/>
    </row>
    <row r="51" spans="1:9" ht="43.5" customHeight="1">
      <c r="A51" s="450"/>
      <c r="B51" s="451"/>
      <c r="C51" s="451"/>
      <c r="D51" s="451"/>
      <c r="E51" s="452">
        <f>+FORMULARIO!C11</f>
        <v>0</v>
      </c>
      <c r="F51" s="453"/>
      <c r="G51" s="112" t="str">
        <f>+FORMULARIO!C12</f>
        <v/>
      </c>
      <c r="H51" s="457">
        <f>+FORMULARIO!C13</f>
        <v>0</v>
      </c>
      <c r="I51" s="458"/>
    </row>
    <row r="52" spans="1:9" ht="21" customHeight="1">
      <c r="A52" s="385" t="s">
        <v>106</v>
      </c>
      <c r="B52" s="218"/>
      <c r="C52" s="218"/>
      <c r="D52" s="218"/>
      <c r="E52" s="218"/>
      <c r="F52" s="218"/>
      <c r="G52" s="218"/>
      <c r="H52" s="218"/>
      <c r="I52" s="386"/>
    </row>
    <row r="53" spans="1:9" ht="21" customHeight="1">
      <c r="A53" s="365" t="s">
        <v>107</v>
      </c>
      <c r="B53" s="362"/>
      <c r="C53" s="362"/>
      <c r="D53" s="363"/>
      <c r="E53" s="361" t="s">
        <v>108</v>
      </c>
      <c r="F53" s="363"/>
      <c r="G53" s="361" t="s">
        <v>109</v>
      </c>
      <c r="H53" s="362"/>
      <c r="I53" s="366"/>
    </row>
    <row r="54" spans="1:9" ht="43.5" customHeight="1">
      <c r="A54" s="373">
        <f>+FORMULARIO!C15</f>
        <v>0</v>
      </c>
      <c r="B54" s="374"/>
      <c r="C54" s="374"/>
      <c r="D54" s="375"/>
      <c r="E54" s="376">
        <f>+FORMULARIO!C13</f>
        <v>0</v>
      </c>
      <c r="F54" s="377"/>
      <c r="G54" s="378"/>
      <c r="H54" s="489"/>
      <c r="I54" s="379"/>
    </row>
    <row r="55" spans="1:9" ht="21" customHeight="1">
      <c r="A55" s="365" t="s">
        <v>110</v>
      </c>
      <c r="B55" s="362"/>
      <c r="C55" s="362"/>
      <c r="D55" s="363"/>
      <c r="E55" s="361" t="s">
        <v>111</v>
      </c>
      <c r="F55" s="363"/>
      <c r="G55" s="361" t="s">
        <v>109</v>
      </c>
      <c r="H55" s="362"/>
      <c r="I55" s="366"/>
    </row>
    <row r="56" spans="1:9" ht="43.5" customHeight="1" thickBot="1">
      <c r="A56" s="367" t="str">
        <f>+FORMULARIO!C16</f>
        <v/>
      </c>
      <c r="B56" s="368"/>
      <c r="C56" s="368"/>
      <c r="D56" s="369"/>
      <c r="E56" s="370"/>
      <c r="F56" s="371"/>
      <c r="G56" s="370"/>
      <c r="H56" s="487"/>
      <c r="I56" s="372"/>
    </row>
    <row r="58" spans="1:9" ht="73.5" customHeight="1">
      <c r="A58" s="364" t="s">
        <v>1338</v>
      </c>
      <c r="B58" s="364"/>
      <c r="C58" s="364"/>
      <c r="D58" s="364"/>
      <c r="E58" s="364"/>
      <c r="F58" s="364"/>
      <c r="G58" s="364"/>
      <c r="H58" s="364"/>
      <c r="I58" s="364"/>
    </row>
  </sheetData>
  <mergeCells count="100">
    <mergeCell ref="F9:I9"/>
    <mergeCell ref="A54:D54"/>
    <mergeCell ref="E54:F54"/>
    <mergeCell ref="G54:I54"/>
    <mergeCell ref="A55:D55"/>
    <mergeCell ref="E55:F55"/>
    <mergeCell ref="G55:I55"/>
    <mergeCell ref="A50:D50"/>
    <mergeCell ref="E50:I50"/>
    <mergeCell ref="A51:D51"/>
    <mergeCell ref="A52:I52"/>
    <mergeCell ref="E24:G24"/>
    <mergeCell ref="E29:G29"/>
    <mergeCell ref="E30:G30"/>
    <mergeCell ref="A53:D53"/>
    <mergeCell ref="E53:F53"/>
    <mergeCell ref="A56:D56"/>
    <mergeCell ref="E56:F56"/>
    <mergeCell ref="G56:I56"/>
    <mergeCell ref="A58:I58"/>
    <mergeCell ref="E19:F19"/>
    <mergeCell ref="A20:I20"/>
    <mergeCell ref="E21:G21"/>
    <mergeCell ref="E22:G22"/>
    <mergeCell ref="E23:G23"/>
    <mergeCell ref="H27:I27"/>
    <mergeCell ref="H28:I28"/>
    <mergeCell ref="H29:I29"/>
    <mergeCell ref="H30:I30"/>
    <mergeCell ref="A26:I26"/>
    <mergeCell ref="E27:G27"/>
    <mergeCell ref="E28:G28"/>
    <mergeCell ref="G53:I53"/>
    <mergeCell ref="A44:I44"/>
    <mergeCell ref="E45:F45"/>
    <mergeCell ref="E46:F46"/>
    <mergeCell ref="E47:F47"/>
    <mergeCell ref="E48:F48"/>
    <mergeCell ref="A49:I49"/>
    <mergeCell ref="A41:I41"/>
    <mergeCell ref="A42:C42"/>
    <mergeCell ref="E42:F42"/>
    <mergeCell ref="G42:I42"/>
    <mergeCell ref="A43:C43"/>
    <mergeCell ref="E43:F43"/>
    <mergeCell ref="G43:I43"/>
    <mergeCell ref="A38:I38"/>
    <mergeCell ref="A39:B39"/>
    <mergeCell ref="C39:D39"/>
    <mergeCell ref="E39:I39"/>
    <mergeCell ref="A40:B40"/>
    <mergeCell ref="C40:D40"/>
    <mergeCell ref="E40:I40"/>
    <mergeCell ref="E37:F37"/>
    <mergeCell ref="H36:I36"/>
    <mergeCell ref="H37:I37"/>
    <mergeCell ref="H25:I25"/>
    <mergeCell ref="E31:G31"/>
    <mergeCell ref="H31:I31"/>
    <mergeCell ref="E25:G25"/>
    <mergeCell ref="A35:I35"/>
    <mergeCell ref="E36:F36"/>
    <mergeCell ref="A32:I32"/>
    <mergeCell ref="A33:C33"/>
    <mergeCell ref="D33:E33"/>
    <mergeCell ref="F33:G33"/>
    <mergeCell ref="A34:C34"/>
    <mergeCell ref="D34:E34"/>
    <mergeCell ref="F34:G34"/>
    <mergeCell ref="E14:F14"/>
    <mergeCell ref="A15:I15"/>
    <mergeCell ref="C16:D16"/>
    <mergeCell ref="G16:I16"/>
    <mergeCell ref="C17:D17"/>
    <mergeCell ref="E17:F18"/>
    <mergeCell ref="G17:I18"/>
    <mergeCell ref="C18:D18"/>
    <mergeCell ref="H14:I14"/>
    <mergeCell ref="A5:I5"/>
    <mergeCell ref="E6:F6"/>
    <mergeCell ref="E7:I7"/>
    <mergeCell ref="C8:D8"/>
    <mergeCell ref="G8:I8"/>
    <mergeCell ref="H6:I6"/>
    <mergeCell ref="C9:D9"/>
    <mergeCell ref="A36:D36"/>
    <mergeCell ref="A37:D37"/>
    <mergeCell ref="E51:F51"/>
    <mergeCell ref="H51:I51"/>
    <mergeCell ref="C10:D10"/>
    <mergeCell ref="G10:I10"/>
    <mergeCell ref="C11:D11"/>
    <mergeCell ref="E11:F13"/>
    <mergeCell ref="G11:I13"/>
    <mergeCell ref="C12:D12"/>
    <mergeCell ref="C13:D13"/>
    <mergeCell ref="H21:I21"/>
    <mergeCell ref="H22:I22"/>
    <mergeCell ref="H23:I23"/>
    <mergeCell ref="H24:I24"/>
  </mergeCells>
  <printOptions horizontalCentered="1" verticalCentered="1"/>
  <pageMargins left="0.36" right="0.27559055118110237" top="0.55118110236220474" bottom="0.31496062992125984" header="0.31496062992125984" footer="0.31496062992125984"/>
  <pageSetup paperSize="5" scale="65"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
    <tabColor theme="9" tint="0.39997558519241921"/>
    <pageSetUpPr fitToPage="1"/>
  </sheetPr>
  <dimension ref="A1:E51"/>
  <sheetViews>
    <sheetView showGridLines="0" showZeros="0" topLeftCell="A19" zoomScale="70" zoomScaleNormal="70" workbookViewId="0">
      <selection activeCell="B1" sqref="B1"/>
    </sheetView>
  </sheetViews>
  <sheetFormatPr defaultColWidth="11.42578125" defaultRowHeight="18.75"/>
  <cols>
    <col min="1" max="1" width="2.7109375" style="1" customWidth="1" collapsed="1"/>
    <col min="2" max="2" width="33.85546875" style="2" customWidth="1" collapsed="1"/>
    <col min="3" max="3" width="81" style="2" customWidth="1" collapsed="1"/>
    <col min="4" max="4" width="13.28515625" style="2" customWidth="1" collapsed="1"/>
    <col min="5" max="5" width="3.28515625" style="1" customWidth="1" collapsed="1"/>
    <col min="6" max="16384" width="11.42578125" style="1" collapsed="1"/>
  </cols>
  <sheetData>
    <row r="1" spans="1:5" ht="45.75" customHeight="1">
      <c r="A1" s="8"/>
      <c r="B1" s="4" t="s">
        <v>1687</v>
      </c>
      <c r="C1" s="4"/>
      <c r="D1" s="4"/>
      <c r="E1" s="9"/>
    </row>
    <row r="2" spans="1:5">
      <c r="A2" s="10"/>
      <c r="B2" s="3" t="s">
        <v>123</v>
      </c>
      <c r="C2" s="3"/>
      <c r="D2" s="3"/>
      <c r="E2" s="5"/>
    </row>
    <row r="3" spans="1:5" ht="10.5" customHeight="1">
      <c r="A3" s="10"/>
      <c r="B3" s="3"/>
      <c r="C3" s="3"/>
      <c r="D3" s="3"/>
      <c r="E3" s="5"/>
    </row>
    <row r="4" spans="1:5" ht="21.75" customHeight="1">
      <c r="A4" s="10"/>
      <c r="B4" s="32" t="s">
        <v>26</v>
      </c>
      <c r="C4" s="52">
        <f>+FORMULARIO!C13</f>
        <v>0</v>
      </c>
      <c r="D4" s="3"/>
      <c r="E4" s="5"/>
    </row>
    <row r="5" spans="1:5" ht="21.75" customHeight="1">
      <c r="A5" s="10"/>
      <c r="B5" s="32" t="s">
        <v>20</v>
      </c>
      <c r="C5" s="33" t="str">
        <f>+CONCATENATE(IF(FORMULARIO!C31="N/A","",FORMULARIO!C31)," ",IF(FORMULARIO!C32="N/A","",FORMULARIO!C32)," ",IF(FORMULARIO!C33="N/A","",FORMULARIO!C33)," ",IF(FORMULARIO!C34="N/A","",FORMULARIO!C34)," ",IF(FORMULARIO!C35="N/A","",FORMULARIO!C35))</f>
        <v xml:space="preserve">    </v>
      </c>
      <c r="D5" s="3"/>
      <c r="E5" s="11"/>
    </row>
    <row r="6" spans="1:5" ht="21.75" customHeight="1">
      <c r="A6" s="10"/>
      <c r="B6" s="32" t="s">
        <v>24</v>
      </c>
      <c r="C6" s="33">
        <f>+FORMULARIO!C19</f>
        <v>0</v>
      </c>
      <c r="D6" s="3"/>
      <c r="E6" s="11"/>
    </row>
    <row r="7" spans="1:5" ht="21.75" customHeight="1">
      <c r="A7" s="10"/>
      <c r="B7" s="32" t="s">
        <v>25</v>
      </c>
      <c r="C7" s="33">
        <f>+FORMULARIO!C20</f>
        <v>0</v>
      </c>
      <c r="D7" s="3"/>
      <c r="E7" s="11"/>
    </row>
    <row r="8" spans="1:5" ht="21.75" customHeight="1" thickBot="1">
      <c r="A8" s="10"/>
      <c r="B8" s="32" t="s">
        <v>27</v>
      </c>
      <c r="C8" s="34">
        <f>+FORMULARIO!C21</f>
        <v>0</v>
      </c>
      <c r="D8" s="3"/>
      <c r="E8" s="11"/>
    </row>
    <row r="9" spans="1:5" ht="21.75" customHeight="1">
      <c r="A9" s="10"/>
      <c r="B9" s="32" t="s">
        <v>19</v>
      </c>
      <c r="C9" s="102">
        <f>+FORMULARIO!C22</f>
        <v>0</v>
      </c>
      <c r="D9" s="490" t="s">
        <v>120</v>
      </c>
      <c r="E9" s="11"/>
    </row>
    <row r="10" spans="1:5" ht="21.75" customHeight="1">
      <c r="A10" s="10"/>
      <c r="B10" s="32" t="s">
        <v>1292</v>
      </c>
      <c r="C10" s="102">
        <f>+FORMULARIO!C28</f>
        <v>0</v>
      </c>
      <c r="D10" s="491"/>
      <c r="E10" s="11"/>
    </row>
    <row r="11" spans="1:5" ht="21.75" customHeight="1">
      <c r="A11" s="10"/>
      <c r="B11" s="32" t="s">
        <v>28</v>
      </c>
      <c r="C11" s="33">
        <f>+FORMULARIO!C29</f>
        <v>0</v>
      </c>
      <c r="D11" s="491"/>
      <c r="E11" s="11"/>
    </row>
    <row r="12" spans="1:5" ht="21.75" customHeight="1" thickBot="1">
      <c r="A12" s="10"/>
      <c r="B12" s="3"/>
      <c r="C12" s="14"/>
      <c r="D12" s="492"/>
      <c r="E12" s="11"/>
    </row>
    <row r="13" spans="1:5" ht="21.75" customHeight="1" thickBot="1">
      <c r="A13" s="10"/>
      <c r="B13" s="494" t="s">
        <v>1297</v>
      </c>
      <c r="C13" s="495"/>
      <c r="D13" s="496"/>
      <c r="E13" s="11"/>
    </row>
    <row r="14" spans="1:5" ht="21.75" customHeight="1" thickBot="1">
      <c r="A14" s="10"/>
      <c r="B14" s="106" t="s">
        <v>34</v>
      </c>
      <c r="C14" s="26"/>
      <c r="D14" s="101"/>
      <c r="E14" s="11"/>
    </row>
    <row r="15" spans="1:5" ht="21.75" customHeight="1" thickBot="1">
      <c r="A15" s="10"/>
      <c r="B15" s="106" t="s">
        <v>33</v>
      </c>
      <c r="C15" s="26"/>
      <c r="D15" s="101"/>
      <c r="E15" s="11"/>
    </row>
    <row r="16" spans="1:5" ht="21.75" customHeight="1" thickBot="1">
      <c r="A16" s="10"/>
      <c r="B16" s="106" t="s">
        <v>4</v>
      </c>
      <c r="C16" s="26"/>
      <c r="D16" s="101"/>
      <c r="E16" s="11"/>
    </row>
    <row r="17" spans="1:5" ht="21.75" customHeight="1" thickBot="1">
      <c r="A17" s="10"/>
      <c r="B17" s="44" t="s">
        <v>5</v>
      </c>
      <c r="C17" s="26"/>
      <c r="D17" s="101"/>
      <c r="E17" s="11"/>
    </row>
    <row r="18" spans="1:5" ht="21.75" customHeight="1" thickBot="1">
      <c r="A18" s="10"/>
      <c r="B18" s="106" t="s">
        <v>9</v>
      </c>
      <c r="C18" s="26"/>
      <c r="D18" s="101"/>
      <c r="E18" s="11"/>
    </row>
    <row r="19" spans="1:5" ht="21.75" customHeight="1" thickBot="1">
      <c r="A19" s="10"/>
      <c r="B19" s="106" t="s">
        <v>29</v>
      </c>
      <c r="C19" s="26"/>
      <c r="D19" s="101"/>
      <c r="E19" s="11"/>
    </row>
    <row r="20" spans="1:5" ht="21.75" customHeight="1" thickBot="1">
      <c r="A20" s="10"/>
      <c r="B20" s="494" t="s">
        <v>124</v>
      </c>
      <c r="C20" s="495"/>
      <c r="D20" s="496"/>
      <c r="E20" s="11"/>
    </row>
    <row r="21" spans="1:5" ht="21.75" customHeight="1" thickBot="1">
      <c r="A21" s="10"/>
      <c r="B21" s="25" t="s">
        <v>6</v>
      </c>
      <c r="C21" s="26"/>
      <c r="D21" s="101"/>
      <c r="E21" s="11"/>
    </row>
    <row r="22" spans="1:5" ht="21.75" customHeight="1" thickBot="1">
      <c r="A22" s="10"/>
      <c r="B22" s="25" t="s">
        <v>7</v>
      </c>
      <c r="C22" s="26"/>
      <c r="D22" s="101"/>
      <c r="E22" s="11"/>
    </row>
    <row r="23" spans="1:5" ht="21.75" customHeight="1" thickBot="1">
      <c r="A23" s="10"/>
      <c r="B23" s="35" t="s">
        <v>8</v>
      </c>
      <c r="C23" s="36"/>
      <c r="D23" s="101"/>
      <c r="E23" s="11"/>
    </row>
    <row r="24" spans="1:5" ht="21.75" customHeight="1" thickBot="1">
      <c r="A24" s="10"/>
      <c r="B24" s="494" t="s">
        <v>1298</v>
      </c>
      <c r="C24" s="495"/>
      <c r="D24" s="496"/>
      <c r="E24" s="11"/>
    </row>
    <row r="25" spans="1:5" ht="21.75" customHeight="1" thickBot="1">
      <c r="A25" s="10"/>
      <c r="B25" s="44" t="s">
        <v>32</v>
      </c>
      <c r="C25" s="26"/>
      <c r="D25" s="101"/>
      <c r="E25" s="11"/>
    </row>
    <row r="26" spans="1:5" ht="21.75" customHeight="1" thickBot="1">
      <c r="A26" s="10"/>
      <c r="B26" s="44" t="s">
        <v>31</v>
      </c>
      <c r="C26" s="26"/>
      <c r="D26" s="101"/>
      <c r="E26" s="11"/>
    </row>
    <row r="27" spans="1:5" ht="21.75" customHeight="1" thickBot="1">
      <c r="A27" s="10"/>
      <c r="B27" s="25" t="s">
        <v>1393</v>
      </c>
      <c r="C27" s="26"/>
      <c r="D27" s="101"/>
      <c r="E27" s="11"/>
    </row>
    <row r="28" spans="1:5" ht="21.75" customHeight="1" thickBot="1">
      <c r="A28" s="10"/>
      <c r="B28" s="25" t="s">
        <v>10</v>
      </c>
      <c r="C28" s="26"/>
      <c r="D28" s="101"/>
      <c r="E28" s="11"/>
    </row>
    <row r="29" spans="1:5" ht="21.75" customHeight="1" thickBot="1">
      <c r="A29" s="10"/>
      <c r="B29" s="25" t="s">
        <v>8</v>
      </c>
      <c r="C29" s="26"/>
      <c r="D29" s="101"/>
      <c r="E29" s="11"/>
    </row>
    <row r="30" spans="1:5" ht="21.75" customHeight="1" thickBot="1">
      <c r="A30" s="10"/>
      <c r="B30" s="494" t="s">
        <v>1299</v>
      </c>
      <c r="C30" s="495"/>
      <c r="D30" s="496"/>
      <c r="E30" s="11"/>
    </row>
    <row r="31" spans="1:5" ht="21.75" customHeight="1" thickBot="1">
      <c r="A31" s="10"/>
      <c r="B31" s="44" t="s">
        <v>32</v>
      </c>
      <c r="C31" s="26"/>
      <c r="D31" s="101"/>
      <c r="E31" s="11"/>
    </row>
    <row r="32" spans="1:5" ht="21.75" customHeight="1" thickBot="1">
      <c r="A32" s="10"/>
      <c r="B32" s="44" t="s">
        <v>31</v>
      </c>
      <c r="C32" s="26"/>
      <c r="D32" s="101"/>
      <c r="E32" s="11"/>
    </row>
    <row r="33" spans="1:5" ht="21.75" customHeight="1" thickBot="1">
      <c r="A33" s="10"/>
      <c r="B33" s="25" t="s">
        <v>30</v>
      </c>
      <c r="C33" s="26"/>
      <c r="D33" s="101"/>
      <c r="E33" s="11"/>
    </row>
    <row r="34" spans="1:5" ht="21.75" customHeight="1" thickBot="1">
      <c r="A34" s="10"/>
      <c r="B34" s="25" t="s">
        <v>1305</v>
      </c>
      <c r="C34" s="26"/>
      <c r="D34" s="101"/>
      <c r="E34" s="11"/>
    </row>
    <row r="35" spans="1:5" ht="21.75" customHeight="1" thickBot="1">
      <c r="A35" s="10"/>
      <c r="B35" s="25" t="s">
        <v>12</v>
      </c>
      <c r="C35" s="26"/>
      <c r="D35" s="101"/>
      <c r="E35" s="11"/>
    </row>
    <row r="36" spans="1:5" ht="21.75" customHeight="1" thickBot="1">
      <c r="A36" s="10"/>
      <c r="B36" s="25" t="s">
        <v>11</v>
      </c>
      <c r="C36" s="26"/>
      <c r="D36" s="101"/>
      <c r="E36" s="11"/>
    </row>
    <row r="37" spans="1:5">
      <c r="A37" s="10"/>
      <c r="B37" s="3"/>
      <c r="C37" s="3"/>
      <c r="D37" s="3"/>
      <c r="E37" s="11"/>
    </row>
    <row r="38" spans="1:5" ht="21">
      <c r="A38" s="10"/>
      <c r="B38" s="28" t="s">
        <v>118</v>
      </c>
      <c r="C38" s="33">
        <f>+FORMULARIO!$C$15</f>
        <v>0</v>
      </c>
      <c r="D38" s="3"/>
      <c r="E38" s="11"/>
    </row>
    <row r="39" spans="1:5" ht="21">
      <c r="A39" s="10"/>
      <c r="B39" s="493" t="s">
        <v>1310</v>
      </c>
      <c r="C39" s="31"/>
      <c r="D39" s="3"/>
      <c r="E39" s="11"/>
    </row>
    <row r="40" spans="1:5" ht="21">
      <c r="A40" s="10"/>
      <c r="B40" s="493"/>
      <c r="C40" s="31" t="s">
        <v>121</v>
      </c>
      <c r="D40" s="3"/>
      <c r="E40" s="11"/>
    </row>
    <row r="41" spans="1:5">
      <c r="A41" s="10"/>
      <c r="B41" s="3"/>
      <c r="C41" s="3"/>
      <c r="D41" s="3"/>
      <c r="E41" s="11"/>
    </row>
    <row r="42" spans="1:5" ht="21">
      <c r="A42" s="10"/>
      <c r="B42" s="28" t="s">
        <v>119</v>
      </c>
      <c r="C42" s="33" t="str">
        <f>+FORMULARIO!C16</f>
        <v/>
      </c>
      <c r="D42" s="28"/>
      <c r="E42" s="11"/>
    </row>
    <row r="43" spans="1:5" ht="33.75" customHeight="1">
      <c r="A43" s="10"/>
      <c r="B43" s="493" t="s">
        <v>1310</v>
      </c>
      <c r="C43" s="31"/>
      <c r="D43" s="27"/>
      <c r="E43" s="11"/>
    </row>
    <row r="44" spans="1:5" ht="33.75" customHeight="1">
      <c r="A44" s="10"/>
      <c r="B44" s="493"/>
      <c r="C44" s="31" t="s">
        <v>121</v>
      </c>
      <c r="D44" s="27"/>
      <c r="E44" s="11"/>
    </row>
    <row r="45" spans="1:5" ht="21.75" customHeight="1">
      <c r="A45" s="10"/>
      <c r="B45" s="29"/>
      <c r="C45" s="29"/>
      <c r="D45" s="27"/>
      <c r="E45" s="11"/>
    </row>
    <row r="46" spans="1:5" ht="12" customHeight="1">
      <c r="A46" s="10"/>
      <c r="B46" s="30"/>
      <c r="C46" s="30"/>
      <c r="D46" s="27"/>
      <c r="E46" s="11"/>
    </row>
    <row r="47" spans="1:5" ht="21.75" customHeight="1">
      <c r="A47" s="10"/>
      <c r="B47" s="28" t="s">
        <v>1345</v>
      </c>
      <c r="C47" s="33" t="str">
        <f>+FORMULARIO!C17</f>
        <v/>
      </c>
      <c r="D47" s="28"/>
      <c r="E47" s="11"/>
    </row>
    <row r="48" spans="1:5" ht="33.75" customHeight="1">
      <c r="A48" s="10"/>
      <c r="B48" s="493" t="s">
        <v>1310</v>
      </c>
      <c r="C48" s="31"/>
      <c r="D48" s="27"/>
      <c r="E48" s="11"/>
    </row>
    <row r="49" spans="1:5" ht="33.75" customHeight="1">
      <c r="A49" s="10"/>
      <c r="B49" s="493"/>
      <c r="C49" s="31" t="s">
        <v>121</v>
      </c>
      <c r="D49" s="27"/>
      <c r="E49" s="11"/>
    </row>
    <row r="50" spans="1:5" ht="21.75" customHeight="1">
      <c r="A50" s="10"/>
      <c r="B50" s="30"/>
      <c r="C50" s="30"/>
      <c r="D50" s="27"/>
      <c r="E50" s="11"/>
    </row>
    <row r="51" spans="1:5" ht="12" customHeight="1" thickBot="1">
      <c r="A51" s="12"/>
      <c r="B51" s="37"/>
      <c r="C51" s="37"/>
      <c r="D51" s="38"/>
      <c r="E51" s="13"/>
    </row>
  </sheetData>
  <mergeCells count="8">
    <mergeCell ref="B43:B44"/>
    <mergeCell ref="B48:B49"/>
    <mergeCell ref="B24:D24"/>
    <mergeCell ref="B30:D30"/>
    <mergeCell ref="D9:D12"/>
    <mergeCell ref="B13:D13"/>
    <mergeCell ref="B20:D20"/>
    <mergeCell ref="B39:B40"/>
  </mergeCells>
  <conditionalFormatting sqref="D14">
    <cfRule type="iconSet" priority="10">
      <iconSet iconSet="3Symbols2" showValue="0">
        <cfvo type="percent" val="0"/>
        <cfvo type="num" val="1"/>
        <cfvo type="num" val="1"/>
      </iconSet>
    </cfRule>
  </conditionalFormatting>
  <conditionalFormatting sqref="D15:D19">
    <cfRule type="iconSet" priority="8">
      <iconSet iconSet="3Symbols2" showValue="0">
        <cfvo type="percent" val="0"/>
        <cfvo type="num" val="1"/>
        <cfvo type="num" val="1"/>
      </iconSet>
    </cfRule>
  </conditionalFormatting>
  <conditionalFormatting sqref="D21:D23">
    <cfRule type="iconSet" priority="7">
      <iconSet iconSet="3Symbols2" showValue="0">
        <cfvo type="percent" val="0"/>
        <cfvo type="num" val="1"/>
        <cfvo type="num" val="1"/>
      </iconSet>
    </cfRule>
  </conditionalFormatting>
  <conditionalFormatting sqref="D25">
    <cfRule type="iconSet" priority="6">
      <iconSet iconSet="3Symbols2" showValue="0">
        <cfvo type="percent" val="0"/>
        <cfvo type="num" val="1"/>
        <cfvo type="num" val="1"/>
      </iconSet>
    </cfRule>
  </conditionalFormatting>
  <conditionalFormatting sqref="D26:D29">
    <cfRule type="iconSet" priority="5">
      <iconSet iconSet="3Symbols2" showValue="0">
        <cfvo type="percent" val="0"/>
        <cfvo type="num" val="1"/>
        <cfvo type="num" val="1"/>
      </iconSet>
    </cfRule>
  </conditionalFormatting>
  <conditionalFormatting sqref="D31">
    <cfRule type="iconSet" priority="4">
      <iconSet iconSet="3Symbols2" showValue="0">
        <cfvo type="percent" val="0"/>
        <cfvo type="num" val="1"/>
        <cfvo type="num" val="1"/>
      </iconSet>
    </cfRule>
  </conditionalFormatting>
  <conditionalFormatting sqref="D32:D36">
    <cfRule type="iconSet" priority="1">
      <iconSet iconSet="3Symbols2" showValue="0">
        <cfvo type="percent" val="0"/>
        <cfvo type="num" val="1"/>
        <cfvo type="num" val="1"/>
      </iconSet>
    </cfRule>
  </conditionalFormatting>
  <printOptions horizontalCentered="1" verticalCentered="1"/>
  <pageMargins left="0.28000000000000003" right="0.23622047244094491" top="0.35433070866141736" bottom="0.27559055118110237" header="0.31496062992125984" footer="0.31496062992125984"/>
  <pageSetup scale="67"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FORMULARIO</vt:lpstr>
      <vt:lpstr>DATOS</vt:lpstr>
      <vt:lpstr>Cumplimiento</vt:lpstr>
      <vt:lpstr>Nacionalidad</vt:lpstr>
      <vt:lpstr>Cumplimiento File</vt:lpstr>
      <vt:lpstr>CTC Pers. Natural</vt:lpstr>
      <vt:lpstr>RTE Pers. Natural</vt:lpstr>
      <vt:lpstr>FILE DOC AUTO</vt:lpstr>
      <vt:lpstr>Pais</vt:lpstr>
      <vt:lpstr>'CTC Pers. Natural'!Print_Area</vt:lpstr>
      <vt:lpstr>'FILE DOC AUTO'!Print_Area</vt:lpstr>
      <vt:lpstr>'RTE Pers. Natural'!Print_Area</vt:lpstr>
      <vt:lpstr>Vendedor</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marilin.santosruiz</dc:creator>
  <cp:lastModifiedBy>Pedro Arrieta</cp:lastModifiedBy>
  <cp:lastPrinted>2019-02-26T15:19:24Z</cp:lastPrinted>
  <dcterms:created xsi:type="dcterms:W3CDTF">2011-07-26T22:13:17Z</dcterms:created>
  <dcterms:modified xsi:type="dcterms:W3CDTF">2023-09-03T22:43:05Z</dcterms:modified>
</cp:coreProperties>
</file>